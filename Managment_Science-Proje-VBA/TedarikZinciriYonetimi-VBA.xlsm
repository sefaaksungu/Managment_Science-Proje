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Projeler\Managment Science-Proje-VBA\"/>
    </mc:Choice>
  </mc:AlternateContent>
  <bookViews>
    <workbookView showHorizontalScroll="0" showVerticalScroll="0" showSheetTabs="0" xWindow="0" yWindow="0" windowWidth="20400" windowHeight="7785" firstSheet="3" activeTab="3" autoFilterDateGrouping="0"/>
  </bookViews>
  <sheets>
    <sheet name="Data ve Notasyon" sheetId="1" r:id="rId1"/>
    <sheet name="Amaç F. ve Kısıtlar" sheetId="2" state="hidden" r:id="rId2"/>
    <sheet name="Karar Destek Sistemi" sheetId="3" state="hidden" r:id="rId3"/>
    <sheet name="Tedarik Zinciri Yönetimi" sheetId="4" r:id="rId4"/>
  </sheets>
  <definedNames>
    <definedName name="a.11">'Data ve Notasyon'!$S$11</definedName>
    <definedName name="a.12">'Data ve Notasyon'!$T$11</definedName>
    <definedName name="a.13">'Data ve Notasyon'!$U$11</definedName>
    <definedName name="a.21">'Data ve Notasyon'!$S$12</definedName>
    <definedName name="a.22">'Data ve Notasyon'!$T$12</definedName>
    <definedName name="a.23">'Data ve Notasyon'!$U$12</definedName>
    <definedName name="a.31">'Data ve Notasyon'!$S$13</definedName>
    <definedName name="a.32">'Data ve Notasyon'!$T$13</definedName>
    <definedName name="a.33">'Data ve Notasyon'!$U$13</definedName>
    <definedName name="b.1">'Data ve Notasyon'!$S$17</definedName>
    <definedName name="b.2">'Data ve Notasyon'!$S$18</definedName>
    <definedName name="b.3">'Data ve Notasyon'!$S$19</definedName>
    <definedName name="b.4">'Data ve Notasyon'!$S$20</definedName>
    <definedName name="b.5">'Data ve Notasyon'!$S$21</definedName>
    <definedName name="C..11">'Data ve Notasyon'!$L$33</definedName>
    <definedName name="C..12">'Data ve Notasyon'!$M$33</definedName>
    <definedName name="C..13">'Data ve Notasyon'!$N$33</definedName>
    <definedName name="C..14">'Data ve Notasyon'!$O$33</definedName>
    <definedName name="C..21">'Data ve Notasyon'!$L$34</definedName>
    <definedName name="C..22">'Data ve Notasyon'!$M$34</definedName>
    <definedName name="C..23">'Data ve Notasyon'!$N$34</definedName>
    <definedName name="C..24">'Data ve Notasyon'!$O$34</definedName>
    <definedName name="C..31">'Data ve Notasyon'!$L$35</definedName>
    <definedName name="C..32">'Data ve Notasyon'!$M$35</definedName>
    <definedName name="C..33">'Data ve Notasyon'!$N$35</definedName>
    <definedName name="C..34">'Data ve Notasyon'!$O$35</definedName>
    <definedName name="C..41">'Data ve Notasyon'!$L$36</definedName>
    <definedName name="C..42">'Data ve Notasyon'!$M$36</definedName>
    <definedName name="C..43">'Data ve Notasyon'!$N$36</definedName>
    <definedName name="C..44">'Data ve Notasyon'!$O$36</definedName>
    <definedName name="C..51">'Data ve Notasyon'!$L$37</definedName>
    <definedName name="C..52">'Data ve Notasyon'!$M$37</definedName>
    <definedName name="C..53">'Data ve Notasyon'!$N$37</definedName>
    <definedName name="C..54">'Data ve Notasyon'!$O$37</definedName>
    <definedName name="c.1">'Data ve Notasyon'!$S$25</definedName>
    <definedName name="C.11">'Data ve Notasyon'!$L$24</definedName>
    <definedName name="C.111">'Data ve Notasyon'!$L$11</definedName>
    <definedName name="C.112">'Data ve Notasyon'!$L$12</definedName>
    <definedName name="C.113">'Data ve Notasyon'!$L$13</definedName>
    <definedName name="C.12">'Data ve Notasyon'!$M$24</definedName>
    <definedName name="C.121">'Data ve Notasyon'!$M$11</definedName>
    <definedName name="C.122">'Data ve Notasyon'!$M$12</definedName>
    <definedName name="C.123">'Data ve Notasyon'!$M$13</definedName>
    <definedName name="C.13">'Data ve Notasyon'!$N$24</definedName>
    <definedName name="C.131">'Data ve Notasyon'!$N$11</definedName>
    <definedName name="C.132">'Data ve Notasyon'!$N$12</definedName>
    <definedName name="C.133">'Data ve Notasyon'!$N$13</definedName>
    <definedName name="C.14">'Data ve Notasyon'!$O$24</definedName>
    <definedName name="C.141">'Data ve Notasyon'!$O$11</definedName>
    <definedName name="C.142">'Data ve Notasyon'!$O$12</definedName>
    <definedName name="C.143">'Data ve Notasyon'!$O$13</definedName>
    <definedName name="C.15">'Data ve Notasyon'!$P$24</definedName>
    <definedName name="C.151">'Data ve Notasyon'!$P$11</definedName>
    <definedName name="C.152">'Data ve Notasyon'!$P$12</definedName>
    <definedName name="C.153">'Data ve Notasyon'!$P$13</definedName>
    <definedName name="c.2">'Data ve Notasyon'!$S$26</definedName>
    <definedName name="C.21">'Data ve Notasyon'!$L$25</definedName>
    <definedName name="C.211">'Data ve Notasyon'!$L$14</definedName>
    <definedName name="C.212">'Data ve Notasyon'!$L$15</definedName>
    <definedName name="C.213">'Data ve Notasyon'!$L$16</definedName>
    <definedName name="C.22">'Data ve Notasyon'!$M$25</definedName>
    <definedName name="C.221">'Data ve Notasyon'!$M$14</definedName>
    <definedName name="C.222">'Data ve Notasyon'!$M$15</definedName>
    <definedName name="C.223">'Data ve Notasyon'!$M$16</definedName>
    <definedName name="C.23">'Data ve Notasyon'!$N$25</definedName>
    <definedName name="C.231">'Data ve Notasyon'!$N$14</definedName>
    <definedName name="C.232">'Data ve Notasyon'!$N$15</definedName>
    <definedName name="C.233">'Data ve Notasyon'!$N$16</definedName>
    <definedName name="C.24">'Data ve Notasyon'!$O$25</definedName>
    <definedName name="C.241">'Data ve Notasyon'!$O$14</definedName>
    <definedName name="C.242">'Data ve Notasyon'!$O$15</definedName>
    <definedName name="C.243">'Data ve Notasyon'!$O$16</definedName>
    <definedName name="C.25">'Data ve Notasyon'!$P$25</definedName>
    <definedName name="C.251">'Data ve Notasyon'!$P$14</definedName>
    <definedName name="C.252">'Data ve Notasyon'!$P$15</definedName>
    <definedName name="C.253">'Data ve Notasyon'!$P$16</definedName>
    <definedName name="c.3">'Data ve Notasyon'!$S$27</definedName>
    <definedName name="C.31">'Data ve Notasyon'!$L$26</definedName>
    <definedName name="C.311">'Data ve Notasyon'!$L$17</definedName>
    <definedName name="C.312">'Data ve Notasyon'!$L$18</definedName>
    <definedName name="C.313">'Data ve Notasyon'!$L$19</definedName>
    <definedName name="C.32">'Data ve Notasyon'!$M$26</definedName>
    <definedName name="C.321">'Data ve Notasyon'!$M$17</definedName>
    <definedName name="C.322">'Data ve Notasyon'!$M$18</definedName>
    <definedName name="C.323">'Data ve Notasyon'!$M$19</definedName>
    <definedName name="C.33">'Data ve Notasyon'!$N$26</definedName>
    <definedName name="C.331">'Data ve Notasyon'!$N$17</definedName>
    <definedName name="C.332">'Data ve Notasyon'!$N$18</definedName>
    <definedName name="C.333">'Data ve Notasyon'!$N$19</definedName>
    <definedName name="C.34">'Data ve Notasyon'!$O$26</definedName>
    <definedName name="C.341">'Data ve Notasyon'!$O$17</definedName>
    <definedName name="C.342">'Data ve Notasyon'!$O$18</definedName>
    <definedName name="C.343">'Data ve Notasyon'!$O$19</definedName>
    <definedName name="C.35">'Data ve Notasyon'!$P$26</definedName>
    <definedName name="C.351">'Data ve Notasyon'!$P$17</definedName>
    <definedName name="C.352">'Data ve Notasyon'!$P$18</definedName>
    <definedName name="C.353">'Data ve Notasyon'!$P$19</definedName>
    <definedName name="c.4">'Data ve Notasyon'!$S$28</definedName>
    <definedName name="C.41">'Data ve Notasyon'!$L$27</definedName>
    <definedName name="C.42">'Data ve Notasyon'!$M$27</definedName>
    <definedName name="C.43">'Data ve Notasyon'!$N$27</definedName>
    <definedName name="C.44">'Data ve Notasyon'!$O$27</definedName>
    <definedName name="C.45">'Data ve Notasyon'!$P$27</definedName>
    <definedName name="c.5">'Data ve Notasyon'!$S$29</definedName>
    <definedName name="C.51">'Data ve Notasyon'!$L$28</definedName>
    <definedName name="C.52">'Data ve Notasyon'!$M$28</definedName>
    <definedName name="C.53">'Data ve Notasyon'!$N$28</definedName>
    <definedName name="C.54">'Data ve Notasyon'!$O$28</definedName>
    <definedName name="C.55">'Data ve Notasyon'!$P$28</definedName>
    <definedName name="Cijt">'Data ve Notasyon'!$L$11:$P$19</definedName>
    <definedName name="Cjk">'Data ve Notasyon'!$L$24:$P$28</definedName>
    <definedName name="Ckl">'Data ve Notasyon'!$L$33:$O$37</definedName>
    <definedName name="D.">'Data ve Notasyon'!$K$5</definedName>
    <definedName name="d.1">'Data ve Notasyon'!$S$33</definedName>
    <definedName name="d.2">'Data ve Notasyon'!$S$34</definedName>
    <definedName name="d.3">'Data ve Notasyon'!$S$35</definedName>
    <definedName name="d.4">'Data ve Notasyon'!$S$36</definedName>
    <definedName name="DELTA.1">'Amaç F. ve Kısıtlar'!$V$25</definedName>
    <definedName name="DELTA.2">'Amaç F. ve Kısıtlar'!$V$26</definedName>
    <definedName name="DELTA.3">'Amaç F. ve Kısıtlar'!$V$27</definedName>
    <definedName name="DELTA.4">'Amaç F. ve Kısıtlar'!$V$28</definedName>
    <definedName name="DELTA.5">'Amaç F. ve Kısıtlar'!$V$29</definedName>
    <definedName name="DELTA1tDELTA2tDELTA3tDELTA4tDELTA5">'Amaç F. ve Kısıtlar'!$V$30</definedName>
    <definedName name="DELTAk">'Amaç F. ve Kısıtlar'!$V$25:$V$29</definedName>
    <definedName name="Fİ.1">'Amaç F. ve Kısıtlar'!$V$17</definedName>
    <definedName name="Fİ.2">'Amaç F. ve Kısıtlar'!$V$18</definedName>
    <definedName name="Fİ.3">'Amaç F. ve Kısıtlar'!$V$19</definedName>
    <definedName name="Fİ.4">'Amaç F. ve Kısıtlar'!$V$20</definedName>
    <definedName name="Fİ.5">'Amaç F. ve Kısıtlar'!$V$21</definedName>
    <definedName name="Fİ1tFİ2tFİ3tFİ4tFİ5">'Amaç F. ve Kısıtlar'!$V$22</definedName>
    <definedName name="Fİj">'Amaç F. ve Kısıtlar'!$V$17:$V$21</definedName>
    <definedName name="P.">'Data ve Notasyon'!$K$4</definedName>
    <definedName name="q.1">'Data ve Notasyon'!$T$17</definedName>
    <definedName name="q.2">'Data ve Notasyon'!$T$18</definedName>
    <definedName name="q.3">'Data ve Notasyon'!$T$19</definedName>
    <definedName name="q.4">'Data ve Notasyon'!$T$20</definedName>
    <definedName name="q.5">'Data ve Notasyon'!$T$21</definedName>
    <definedName name="Qj">'Data ve Notasyon'!$T$17:$T$21</definedName>
    <definedName name="s.1">'Data ve Notasyon'!$T$25</definedName>
    <definedName name="s.2">'Data ve Notasyon'!$T$26</definedName>
    <definedName name="s.3">'Data ve Notasyon'!$T$27</definedName>
    <definedName name="s.4">'Data ve Notasyon'!$T$28</definedName>
    <definedName name="s.5">'Data ve Notasyon'!$T$29</definedName>
    <definedName name="Sk">'Data ve Notasyon'!$T$25:$T$29</definedName>
    <definedName name="solver_adj" localSheetId="1" hidden="1">'Amaç F. ve Kısıtlar'!$V$17:$V$21,'Amaç F. ve Kısıtlar'!$L$4:$P$12,'Amaç F. ve Kısıtlar'!$V$25:$V$29,'Amaç F. ve Kısıtlar'!$L$17:$P$21,'Amaç F. ve Kısıtlar'!$L$26:$O$30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'Amaç F. ve Kısıtlar'!$L$39:$P$41</definedName>
    <definedName name="solver_lhs10" localSheetId="1" hidden="1">'Amaç F. ve Kısıtlar'!$O$31</definedName>
    <definedName name="solver_lhs11" localSheetId="1" hidden="1">'Amaç F. ve Kısıtlar'!$N$31</definedName>
    <definedName name="solver_lhs12" localSheetId="1" hidden="1">'Amaç F. ve Kısıtlar'!$M$31</definedName>
    <definedName name="solver_lhs13" localSheetId="1" hidden="1">'Amaç F. ve Kısıtlar'!$L$31</definedName>
    <definedName name="solver_lhs14" localSheetId="1" hidden="1">'Amaç F. ve Kısıtlar'!$P$30</definedName>
    <definedName name="solver_lhs15" localSheetId="1" hidden="1">'Amaç F. ve Kısıtlar'!$P$29</definedName>
    <definedName name="solver_lhs16" localSheetId="1" hidden="1">'Amaç F. ve Kısıtlar'!$P$28</definedName>
    <definedName name="solver_lhs17" localSheetId="1" hidden="1">'Amaç F. ve Kısıtlar'!$P$28</definedName>
    <definedName name="solver_lhs18" localSheetId="1" hidden="1">'Amaç F. ve Kısıtlar'!$P$29</definedName>
    <definedName name="solver_lhs19" localSheetId="1" hidden="1">'Amaç F. ve Kısıtlar'!$P$30</definedName>
    <definedName name="solver_lhs2" localSheetId="1" hidden="1">'Amaç F. ve Kısıtlar'!$L$37:$P$37</definedName>
    <definedName name="solver_lhs20" localSheetId="1" hidden="1">'Amaç F. ve Kısıtlar'!$L$31</definedName>
    <definedName name="solver_lhs21" localSheetId="1" hidden="1">'Amaç F. ve Kısıtlar'!$M$31</definedName>
    <definedName name="solver_lhs22" localSheetId="1" hidden="1">'Amaç F. ve Kısıtlar'!$N$31</definedName>
    <definedName name="solver_lhs23" localSheetId="1" hidden="1">'Amaç F. ve Kısıtlar'!$O$31</definedName>
    <definedName name="solver_lhs24" localSheetId="1" hidden="1">'Amaç F. ve Kısıtlar'!$V$17:$V$21</definedName>
    <definedName name="solver_lhs25" localSheetId="1" hidden="1">'Amaç F. ve Kısıtlar'!$V$22</definedName>
    <definedName name="solver_lhs26" localSheetId="1" hidden="1">'Amaç F. ve Kısıtlar'!$V$25:$V$29</definedName>
    <definedName name="solver_lhs27" localSheetId="1" hidden="1">'Amaç F. ve Kısıtlar'!$V$30</definedName>
    <definedName name="solver_lhs28" localSheetId="1" hidden="1">'Amaç F. ve Kısıtlar'!$L$4:$P$12</definedName>
    <definedName name="solver_lhs29" localSheetId="1" hidden="1">'Amaç F. ve Kısıtlar'!$L$17:$P$21</definedName>
    <definedName name="solver_lhs3" localSheetId="1" hidden="1">'Amaç F. ve Kısıtlar'!$L$26:$O$30</definedName>
    <definedName name="solver_lhs30" localSheetId="1" hidden="1">'Amaç F. ve Kısıtlar'!$L$26:$O$30</definedName>
    <definedName name="solver_lhs31" localSheetId="1" hidden="1">'Amaç F. ve Kısıtlar'!$L$37:$P$37</definedName>
    <definedName name="solver_lhs32" localSheetId="1" hidden="1">'Amaç F. ve Kısıtlar'!$L$39:$P$41</definedName>
    <definedName name="solver_lhs33" localSheetId="1" hidden="1">'Amaç F. ve Kısıtlar'!$P$30</definedName>
    <definedName name="solver_lhs34" localSheetId="1" hidden="1">'Amaç F. ve Kısıtlar'!$L$26:$O$30</definedName>
    <definedName name="solver_lhs4" localSheetId="1" hidden="1">'Amaç F. ve Kısıtlar'!$L$17:$P$21</definedName>
    <definedName name="solver_lhs5" localSheetId="1" hidden="1">'Amaç F. ve Kısıtlar'!$L$4:$P$12</definedName>
    <definedName name="solver_lhs6" localSheetId="1" hidden="1">'Amaç F. ve Kısıtlar'!$V$30</definedName>
    <definedName name="solver_lhs7" localSheetId="1" hidden="1">'Amaç F. ve Kısıtlar'!$V$25:$V$29</definedName>
    <definedName name="solver_lhs8" localSheetId="1" hidden="1">'Amaç F. ve Kısıtlar'!$V$22</definedName>
    <definedName name="solver_lhs9" localSheetId="1" hidden="1">'Amaç F. ve Kısıtlar'!$V$17:$V$21</definedName>
    <definedName name="solver_mip" localSheetId="1" hidden="1">100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'Amaç F. ve Kısıtlar'!$V$33</definedName>
    <definedName name="solver_pre" localSheetId="1" hidden="1">0.000000001</definedName>
    <definedName name="solver_rbv" localSheetId="1" hidden="1">2</definedName>
    <definedName name="solver_rel1" localSheetId="1" hidden="1">2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1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1</definedName>
    <definedName name="solver_rel2" localSheetId="1" hidden="1">2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5</definedName>
    <definedName name="solver_rel25" localSheetId="1" hidden="1">1</definedName>
    <definedName name="solver_rel26" localSheetId="1" hidden="1">5</definedName>
    <definedName name="solver_rel27" localSheetId="1" hidden="1">1</definedName>
    <definedName name="solver_rel28" localSheetId="1" hidden="1">4</definedName>
    <definedName name="solver_rel29" localSheetId="1" hidden="1">4</definedName>
    <definedName name="solver_rel3" localSheetId="1" hidden="1">4</definedName>
    <definedName name="solver_rel30" localSheetId="1" hidden="1">4</definedName>
    <definedName name="solver_rel31" localSheetId="1" hidden="1">2</definedName>
    <definedName name="solver_rel32" localSheetId="1" hidden="1">2</definedName>
    <definedName name="solver_rel33" localSheetId="1" hidden="1">1</definedName>
    <definedName name="solver_rel34" localSheetId="1" hidden="1">4</definedName>
    <definedName name="solver_rel4" localSheetId="1" hidden="1">4</definedName>
    <definedName name="solver_rel5" localSheetId="1" hidden="1">4</definedName>
    <definedName name="solver_rel6" localSheetId="1" hidden="1">1</definedName>
    <definedName name="solver_rel7" localSheetId="1" hidden="1">5</definedName>
    <definedName name="solver_rel8" localSheetId="1" hidden="1">1</definedName>
    <definedName name="solver_rel9" localSheetId="1" hidden="1">5</definedName>
    <definedName name="solver_rhs1" localSheetId="1" hidden="1">0</definedName>
    <definedName name="solver_rhs10" localSheetId="1" hidden="1">'Amaç F. ve Kısıtlar'!$O$33</definedName>
    <definedName name="solver_rhs11" localSheetId="1" hidden="1">'Amaç F. ve Kısıtlar'!$N$33</definedName>
    <definedName name="solver_rhs12" localSheetId="1" hidden="1">'Amaç F. ve Kısıtlar'!$M$33</definedName>
    <definedName name="solver_rhs13" localSheetId="1" hidden="1">'Amaç F. ve Kısıtlar'!$L$33</definedName>
    <definedName name="solver_rhs14" localSheetId="1" hidden="1">'Amaç F. ve Kısıtlar'!$R$30*'Amaç F. ve Kısıtlar'!$V$29</definedName>
    <definedName name="solver_rhs15" localSheetId="1" hidden="1">'Amaç F. ve Kısıtlar'!$R$29*'Amaç F. ve Kısıtlar'!$V$28</definedName>
    <definedName name="solver_rhs16" localSheetId="1" hidden="1">'Amaç F. ve Kısıtlar'!$R$28*'Amaç F. ve Kısıtlar'!$V$27</definedName>
    <definedName name="solver_rhs17" localSheetId="1" hidden="1">'Amaç F. ve Kısıtlar'!$R$28*'Amaç F. ve Kısıtlar'!$V$27</definedName>
    <definedName name="solver_rhs18" localSheetId="1" hidden="1">'Amaç F. ve Kısıtlar'!$R$29*'Amaç F. ve Kısıtlar'!$V$28</definedName>
    <definedName name="solver_rhs19" localSheetId="1" hidden="1">'Amaç F. ve Kısıtlar'!$R$30*'Amaç F. ve Kısıtlar'!$V$29</definedName>
    <definedName name="solver_rhs2" localSheetId="1" hidden="1">0</definedName>
    <definedName name="solver_rhs20" localSheetId="1" hidden="1">'Amaç F. ve Kısıtlar'!$L$33</definedName>
    <definedName name="solver_rhs21" localSheetId="1" hidden="1">'Amaç F. ve Kısıtlar'!$M$33</definedName>
    <definedName name="solver_rhs22" localSheetId="1" hidden="1">'Amaç F. ve Kısıtlar'!$N$33</definedName>
    <definedName name="solver_rhs23" localSheetId="1" hidden="1">'Amaç F. ve Kısıtlar'!$O$33</definedName>
    <definedName name="solver_rhs24" localSheetId="1" hidden="1">ikili düzen</definedName>
    <definedName name="solver_rhs25" localSheetId="1" hidden="1">'Amaç F. ve Kısıtlar'!$X$22</definedName>
    <definedName name="solver_rhs26" localSheetId="1" hidden="1">ikili düzen</definedName>
    <definedName name="solver_rhs27" localSheetId="1" hidden="1">'Amaç F. ve Kısıtlar'!$X$30</definedName>
    <definedName name="solver_rhs28" localSheetId="1" hidden="1">tamsayı</definedName>
    <definedName name="solver_rhs29" localSheetId="1" hidden="1">tamsayı</definedName>
    <definedName name="solver_rhs3" localSheetId="1" hidden="1">tamsayı</definedName>
    <definedName name="solver_rhs30" localSheetId="1" hidden="1">tamsayı</definedName>
    <definedName name="solver_rhs31" localSheetId="1" hidden="1">0</definedName>
    <definedName name="solver_rhs32" localSheetId="1" hidden="1">0</definedName>
    <definedName name="solver_rhs33" localSheetId="1" hidden="1">580*'Amaç F. ve Kısıtlar'!$V$29</definedName>
    <definedName name="solver_rhs34" localSheetId="1" hidden="1">tamsayı</definedName>
    <definedName name="solver_rhs4" localSheetId="1" hidden="1">tamsayı</definedName>
    <definedName name="solver_rhs5" localSheetId="1" hidden="1">tamsayı</definedName>
    <definedName name="solver_rhs6" localSheetId="1" hidden="1">'Amaç F. ve Kısıtlar'!$X$30</definedName>
    <definedName name="solver_rhs7" localSheetId="1" hidden="1">ikili düzen</definedName>
    <definedName name="solver_rhs8" localSheetId="1" hidden="1">'Amaç F. ve Kısıtlar'!$X$22</definedName>
    <definedName name="solver_rhs9" localSheetId="1" hidden="1">ikili düzen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X.111">'Amaç F. ve Kısıtlar'!$L$4</definedName>
    <definedName name="X.112">'Amaç F. ve Kısıtlar'!$L$5</definedName>
    <definedName name="X.113">'Amaç F. ve Kısıtlar'!$L$6</definedName>
    <definedName name="X.121">'Amaç F. ve Kısıtlar'!$M$4</definedName>
    <definedName name="X.122">'Amaç F. ve Kısıtlar'!$M$5</definedName>
    <definedName name="X.123">'Amaç F. ve Kısıtlar'!$M$6</definedName>
    <definedName name="X.131">'Amaç F. ve Kısıtlar'!$N$4</definedName>
    <definedName name="X.132">'Amaç F. ve Kısıtlar'!$N$5</definedName>
    <definedName name="X.133">'Amaç F. ve Kısıtlar'!$N$6</definedName>
    <definedName name="X.141">'Amaç F. ve Kısıtlar'!$O$4</definedName>
    <definedName name="X.142">'Amaç F. ve Kısıtlar'!$O$5</definedName>
    <definedName name="X.143">'Amaç F. ve Kısıtlar'!$O$6</definedName>
    <definedName name="X.151">'Amaç F. ve Kısıtlar'!$P$4</definedName>
    <definedName name="X.152">'Amaç F. ve Kısıtlar'!$P$5</definedName>
    <definedName name="X.153">'Amaç F. ve Kısıtlar'!$P$6</definedName>
    <definedName name="X.211">'Amaç F. ve Kısıtlar'!$L$7</definedName>
    <definedName name="X.212">'Amaç F. ve Kısıtlar'!$L$8</definedName>
    <definedName name="X.213">'Amaç F. ve Kısıtlar'!$L$9</definedName>
    <definedName name="X.221">'Amaç F. ve Kısıtlar'!$M$7</definedName>
    <definedName name="X.222">'Amaç F. ve Kısıtlar'!$M$8</definedName>
    <definedName name="X.223">'Amaç F. ve Kısıtlar'!$M$9</definedName>
    <definedName name="X.231">'Amaç F. ve Kısıtlar'!$N$7</definedName>
    <definedName name="X.232">'Amaç F. ve Kısıtlar'!$N$8</definedName>
    <definedName name="X.233">'Amaç F. ve Kısıtlar'!$N$9</definedName>
    <definedName name="X.241">'Amaç F. ve Kısıtlar'!$O$7</definedName>
    <definedName name="X.242">'Amaç F. ve Kısıtlar'!$O$8</definedName>
    <definedName name="X.243">'Amaç F. ve Kısıtlar'!$O$9</definedName>
    <definedName name="X.251">'Amaç F. ve Kısıtlar'!$P$7</definedName>
    <definedName name="X.252">'Amaç F. ve Kısıtlar'!$P$8</definedName>
    <definedName name="X.253">'Amaç F. ve Kısıtlar'!$P$9</definedName>
    <definedName name="X.311">'Amaç F. ve Kısıtlar'!$L$10</definedName>
    <definedName name="X.312">'Amaç F. ve Kısıtlar'!$L$11</definedName>
    <definedName name="X.313">'Amaç F. ve Kısıtlar'!$L$12</definedName>
    <definedName name="X.321">'Amaç F. ve Kısıtlar'!$M$10</definedName>
    <definedName name="X.322">'Amaç F. ve Kısıtlar'!$M$11</definedName>
    <definedName name="X.323">'Amaç F. ve Kısıtlar'!$M$12</definedName>
    <definedName name="X.331">'Amaç F. ve Kısıtlar'!$N$10</definedName>
    <definedName name="X.332">'Amaç F. ve Kısıtlar'!$N$11</definedName>
    <definedName name="X.333">'Amaç F. ve Kısıtlar'!$N$12</definedName>
    <definedName name="X.341">'Amaç F. ve Kısıtlar'!$O$10</definedName>
    <definedName name="X.342">'Amaç F. ve Kısıtlar'!$O$11</definedName>
    <definedName name="X.343">'Amaç F. ve Kısıtlar'!$O$12</definedName>
    <definedName name="X.351">'Amaç F. ve Kısıtlar'!$P$10</definedName>
    <definedName name="X.352">'Amaç F. ve Kısıtlar'!$P$11</definedName>
    <definedName name="X.353">'Amaç F. ve Kısıtlar'!$P$12</definedName>
    <definedName name="X111tX121tX131tX141tX151">'Amaç F. ve Kısıtlar'!$Q$4</definedName>
    <definedName name="X112tX122tX132tX142tX152">'Amaç F. ve Kısıtlar'!$Q$5</definedName>
    <definedName name="X113tX123tX133tX143tX153">'Amaç F. ve Kısıtlar'!$Q$6</definedName>
    <definedName name="X211tX221tX231tX241tX251">'Amaç F. ve Kısıtlar'!$Q$7</definedName>
    <definedName name="X212tX222tX232tX242tX252">'Amaç F. ve Kısıtlar'!$Q$8</definedName>
    <definedName name="X213tX223tX233tX243tX253">'Amaç F. ve Kısıtlar'!$Q$9</definedName>
    <definedName name="X311tX321tX331tX341tX351">'Amaç F. ve Kısıtlar'!$Q$10</definedName>
    <definedName name="X312tX322tX332tX342tX352">'Amaç F. ve Kısıtlar'!$Q$11</definedName>
    <definedName name="X313tX323tX333tX343tX353">'Amaç F. ve Kısıtlar'!$Q$12</definedName>
    <definedName name="Xijt">'Amaç F. ve Kısıtlar'!$L$4:$P$12</definedName>
    <definedName name="Y.11">'Amaç F. ve Kısıtlar'!$L$17</definedName>
    <definedName name="Y.12">'Amaç F. ve Kısıtlar'!$M$17</definedName>
    <definedName name="Y.13">'Amaç F. ve Kısıtlar'!$N$17</definedName>
    <definedName name="Y.14">'Amaç F. ve Kısıtlar'!$O$17</definedName>
    <definedName name="Y.15">'Amaç F. ve Kısıtlar'!$P$17</definedName>
    <definedName name="Y.21">'Amaç F. ve Kısıtlar'!$L$18</definedName>
    <definedName name="Y.22">'Amaç F. ve Kısıtlar'!$M$18</definedName>
    <definedName name="Y.23">'Amaç F. ve Kısıtlar'!$N$18</definedName>
    <definedName name="Y.24">'Amaç F. ve Kısıtlar'!$O$18</definedName>
    <definedName name="Y.25">'Amaç F. ve Kısıtlar'!$P$18</definedName>
    <definedName name="Y.31">'Amaç F. ve Kısıtlar'!$L$19</definedName>
    <definedName name="Y.32">'Amaç F. ve Kısıtlar'!$M$19</definedName>
    <definedName name="Y.33">'Amaç F. ve Kısıtlar'!$N$19</definedName>
    <definedName name="Y.34">'Amaç F. ve Kısıtlar'!$O$19</definedName>
    <definedName name="Y.35">'Amaç F. ve Kısıtlar'!$P$19</definedName>
    <definedName name="Y.41">'Amaç F. ve Kısıtlar'!$L$20</definedName>
    <definedName name="Y.42">'Amaç F. ve Kısıtlar'!$M$20</definedName>
    <definedName name="Y.43">'Amaç F. ve Kısıtlar'!$N$20</definedName>
    <definedName name="Y.44">'Amaç F. ve Kısıtlar'!$O$20</definedName>
    <definedName name="Y.45">'Amaç F. ve Kısıtlar'!$P$20</definedName>
    <definedName name="Y.51">'Amaç F. ve Kısıtlar'!$L$21</definedName>
    <definedName name="Y.52">'Amaç F. ve Kısıtlar'!$M$21</definedName>
    <definedName name="Y.53">'Amaç F. ve Kısıtlar'!$N$21</definedName>
    <definedName name="Y.54">'Amaç F. ve Kısıtlar'!$O$21</definedName>
    <definedName name="Y.55">'Amaç F. ve Kısıtlar'!$P$21</definedName>
    <definedName name="Y11tY12tY13tY14tY15">'Amaç F. ve Kısıtlar'!$Q$17</definedName>
    <definedName name="Y21tY22tY23tY24tY25">'Amaç F. ve Kısıtlar'!$Q$18</definedName>
    <definedName name="Y31tY32tY33tY34tY35">'Amaç F. ve Kısıtlar'!$Q$19</definedName>
    <definedName name="Y41tY42tY43tY44tY45">'Amaç F. ve Kısıtlar'!$Q$20</definedName>
    <definedName name="Y51tY52tY53tY54tY55">'Amaç F. ve Kısıtlar'!$Q$21</definedName>
    <definedName name="Yjk">'Amaç F. ve Kısıtlar'!$L$17:$P$21</definedName>
    <definedName name="Z.11">'Amaç F. ve Kısıtlar'!$L$26</definedName>
    <definedName name="Z.12">'Amaç F. ve Kısıtlar'!$M$26</definedName>
    <definedName name="Z.13">'Amaç F. ve Kısıtlar'!$N$26</definedName>
    <definedName name="Z.14">'Amaç F. ve Kısıtlar'!$O$26</definedName>
    <definedName name="Z.21">'Amaç F. ve Kısıtlar'!$L$27</definedName>
    <definedName name="Z.22">'Amaç F. ve Kısıtlar'!$M$27</definedName>
    <definedName name="Z.23">'Amaç F. ve Kısıtlar'!$N$27</definedName>
    <definedName name="Z.24">'Amaç F. ve Kısıtlar'!$O$27</definedName>
    <definedName name="Z.31">'Amaç F. ve Kısıtlar'!$L$28</definedName>
    <definedName name="Z.32">'Amaç F. ve Kısıtlar'!$M$28</definedName>
    <definedName name="Z.33">'Amaç F. ve Kısıtlar'!$N$28</definedName>
    <definedName name="Z.34">'Amaç F. ve Kısıtlar'!$O$28</definedName>
    <definedName name="Z.41">'Amaç F. ve Kısıtlar'!$L$29</definedName>
    <definedName name="Z.42">'Amaç F. ve Kısıtlar'!$M$29</definedName>
    <definedName name="Z.43">'Amaç F. ve Kısıtlar'!$N$29</definedName>
    <definedName name="Z.44">'Amaç F. ve Kısıtlar'!$O$29</definedName>
    <definedName name="Z.51">'Amaç F. ve Kısıtlar'!$L$30</definedName>
    <definedName name="Z.52">'Amaç F. ve Kısıtlar'!$M$30</definedName>
    <definedName name="Z.53">'Amaç F. ve Kısıtlar'!$N$30</definedName>
    <definedName name="Z.54">'Amaç F. ve Kısıtlar'!$O$30</definedName>
    <definedName name="Z11tZ12tZ13tZ14">'Amaç F. ve Kısıtlar'!$P$26</definedName>
    <definedName name="Z11tZ21tZ31tZ41tZ51">'Amaç F. ve Kısıtlar'!$L$31</definedName>
    <definedName name="Z12tZ22tZ32tZ42tZ52">'Amaç F. ve Kısıtlar'!$M$31</definedName>
    <definedName name="Z13tZ23tZ33tZ43tZ53">'Amaç F. ve Kısıtlar'!$N$31</definedName>
    <definedName name="Z14tZ24tZ34tZ44tZ54">'Amaç F. ve Kısıtlar'!$O$31</definedName>
    <definedName name="Z21tZ22tZ23tZ24">'Amaç F. ve Kısıtlar'!$P$27</definedName>
    <definedName name="Z31tZ32tZ33tZ34">'Amaç F. ve Kısıtlar'!$P$28</definedName>
    <definedName name="Z41tZ42tZ43tZ44">'Amaç F. ve Kısıtlar'!$P$29</definedName>
    <definedName name="Z51tZ52tZ53tZ54">'Amaç F. ve Kısıtlar'!$P$30</definedName>
    <definedName name="Zkl">'Amaç F. ve Kısıtlar'!$L$26:$O$30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2" l="1"/>
  <c r="N33" i="2"/>
  <c r="M33" i="2"/>
  <c r="L33" i="2"/>
  <c r="R30" i="2"/>
  <c r="R29" i="2"/>
  <c r="R28" i="2"/>
  <c r="R27" i="2"/>
  <c r="R26" i="2"/>
  <c r="S21" i="2"/>
  <c r="S20" i="2"/>
  <c r="S19" i="2"/>
  <c r="S18" i="2"/>
  <c r="S17" i="2"/>
  <c r="S12" i="2"/>
  <c r="S11" i="2"/>
  <c r="S10" i="2"/>
  <c r="S9" i="2"/>
  <c r="S8" i="2"/>
  <c r="S7" i="2"/>
  <c r="S6" i="2"/>
  <c r="S5" i="2"/>
  <c r="S4" i="2"/>
  <c r="X30" i="2"/>
  <c r="X22" i="2"/>
  <c r="Q5" i="2" l="1"/>
  <c r="Q6" i="2"/>
  <c r="Q7" i="2"/>
  <c r="Q8" i="2"/>
  <c r="Q9" i="2"/>
  <c r="Q10" i="2"/>
  <c r="Q11" i="2"/>
  <c r="Q12" i="2"/>
  <c r="Q4" i="2"/>
  <c r="V33" i="2" l="1"/>
  <c r="V30" i="2" l="1"/>
  <c r="V22" i="2"/>
  <c r="Q18" i="2"/>
  <c r="Q19" i="2"/>
  <c r="Q20" i="2"/>
  <c r="Q21" i="2"/>
  <c r="Q17" i="2"/>
  <c r="M31" i="2"/>
  <c r="N31" i="2"/>
  <c r="O31" i="2"/>
  <c r="L31" i="2"/>
  <c r="N39" i="2" l="1"/>
  <c r="N40" i="2"/>
  <c r="N41" i="2"/>
  <c r="L41" i="2"/>
  <c r="L40" i="2"/>
  <c r="L39" i="2"/>
  <c r="M40" i="2"/>
  <c r="M41" i="2"/>
  <c r="M39" i="2"/>
  <c r="P41" i="2"/>
  <c r="P40" i="2"/>
  <c r="P39" i="2"/>
  <c r="O41" i="2"/>
  <c r="O39" i="2"/>
  <c r="O40" i="2"/>
  <c r="P27" i="2"/>
  <c r="M37" i="2" s="1"/>
  <c r="P28" i="2"/>
  <c r="N37" i="2" s="1"/>
  <c r="P29" i="2"/>
  <c r="O37" i="2" s="1"/>
  <c r="P30" i="2"/>
  <c r="P37" i="2" s="1"/>
  <c r="P26" i="2"/>
  <c r="L37" i="2" s="1"/>
</calcChain>
</file>

<file path=xl/sharedStrings.xml><?xml version="1.0" encoding="utf-8"?>
<sst xmlns="http://schemas.openxmlformats.org/spreadsheetml/2006/main" count="80" uniqueCount="43">
  <si>
    <r>
      <t>TEDARİKÇİLER</t>
    </r>
    <r>
      <rPr>
        <vertAlign val="subscript"/>
        <sz val="11"/>
        <color theme="1"/>
        <rFont val="Calibri"/>
        <family val="2"/>
        <charset val="162"/>
        <scheme val="minor"/>
      </rPr>
      <t>(i</t>
    </r>
    <r>
      <rPr>
        <b/>
        <vertAlign val="subscript"/>
        <sz val="11"/>
        <color theme="1"/>
        <rFont val="Calibri"/>
        <family val="2"/>
        <charset val="162"/>
        <scheme val="minor"/>
      </rPr>
      <t>)</t>
    </r>
  </si>
  <si>
    <r>
      <t>KOMPENENTLER</t>
    </r>
    <r>
      <rPr>
        <vertAlign val="subscript"/>
        <sz val="11"/>
        <color theme="1"/>
        <rFont val="Calibri"/>
        <family val="2"/>
        <charset val="162"/>
        <scheme val="minor"/>
      </rPr>
      <t>(t)</t>
    </r>
  </si>
  <si>
    <t>&lt;=</t>
  </si>
  <si>
    <r>
      <t>X</t>
    </r>
    <r>
      <rPr>
        <vertAlign val="subscript"/>
        <sz val="11"/>
        <color theme="1"/>
        <rFont val="Segoe Print"/>
        <charset val="162"/>
      </rPr>
      <t>ijt</t>
    </r>
  </si>
  <si>
    <r>
      <rPr>
        <b/>
        <sz val="10"/>
        <color theme="1"/>
        <rFont val="Times New Roman"/>
        <family val="1"/>
        <charset val="162"/>
      </rPr>
      <t>Tablo 1</t>
    </r>
    <r>
      <rPr>
        <sz val="10"/>
        <color theme="1"/>
        <rFont val="Times New Roman"/>
        <family val="1"/>
        <charset val="162"/>
      </rPr>
      <t>. Birinci aşama birim taşıma maliyetleri (tedarikçilerden fabrikalara).</t>
    </r>
  </si>
  <si>
    <r>
      <rPr>
        <b/>
        <sz val="10"/>
        <color theme="1"/>
        <rFont val="Times New Roman"/>
        <family val="1"/>
        <charset val="162"/>
      </rPr>
      <t>Tablo 2</t>
    </r>
    <r>
      <rPr>
        <sz val="10"/>
        <color theme="1"/>
        <rFont val="Times New Roman"/>
        <family val="1"/>
        <charset val="162"/>
      </rPr>
      <t>. İkinci aşama birim taşıma maliyetleri (fabrikalardan dağıtım merkezlerine).</t>
    </r>
  </si>
  <si>
    <r>
      <rPr>
        <b/>
        <sz val="10"/>
        <color theme="1"/>
        <rFont val="Times New Roman"/>
        <family val="1"/>
        <charset val="162"/>
      </rPr>
      <t>Tablo 5.</t>
    </r>
    <r>
      <rPr>
        <sz val="10"/>
        <color theme="1"/>
        <rFont val="Times New Roman"/>
        <family val="1"/>
        <charset val="162"/>
      </rPr>
      <t xml:space="preserve"> Fabrikaların üretim kapasiteleri ve sabit maliyetleri.</t>
    </r>
  </si>
  <si>
    <r>
      <rPr>
        <b/>
        <sz val="10"/>
        <color theme="1"/>
        <rFont val="Times New Roman"/>
        <family val="1"/>
        <charset val="162"/>
      </rPr>
      <t>Tablo 3</t>
    </r>
    <r>
      <rPr>
        <sz val="10"/>
        <color theme="1"/>
        <rFont val="Times New Roman"/>
        <family val="1"/>
        <charset val="162"/>
      </rPr>
      <t>. Üçüncü aşama birim taşıma maliyetleri (dağıtım merkezlerinden 
müşterilere).</t>
    </r>
  </si>
  <si>
    <r>
      <rPr>
        <b/>
        <sz val="10"/>
        <color theme="1"/>
        <rFont val="Times New Roman"/>
        <family val="1"/>
        <charset val="162"/>
      </rPr>
      <t>Tablo 6.</t>
    </r>
    <r>
      <rPr>
        <sz val="10"/>
        <color theme="1"/>
        <rFont val="Times New Roman"/>
        <family val="1"/>
        <charset val="162"/>
      </rPr>
      <t xml:space="preserve"> Dağıtım merkezlerinin dağıtım kapasiteleri ve sabit maliyetleri.</t>
    </r>
  </si>
  <si>
    <r>
      <rPr>
        <b/>
        <sz val="10"/>
        <color theme="1"/>
        <rFont val="Times New Roman"/>
        <family val="1"/>
        <charset val="162"/>
      </rPr>
      <t>Tablo 7.</t>
    </r>
    <r>
      <rPr>
        <sz val="10"/>
        <color theme="1"/>
        <rFont val="Times New Roman"/>
        <family val="1"/>
        <charset val="162"/>
      </rPr>
      <t xml:space="preserve"> Nihai ürüne olan müşteri talebi.</t>
    </r>
  </si>
  <si>
    <r>
      <rPr>
        <b/>
        <sz val="10"/>
        <color theme="1"/>
        <rFont val="Times New Roman"/>
        <family val="1"/>
        <charset val="162"/>
      </rPr>
      <t xml:space="preserve">Tablo 4. </t>
    </r>
    <r>
      <rPr>
        <sz val="10"/>
        <color theme="1"/>
        <rFont val="Times New Roman"/>
        <family val="1"/>
        <charset val="162"/>
      </rPr>
      <t>Tedarikçilerin komponent bazında kapasiteleri.</t>
    </r>
  </si>
  <si>
    <r>
      <t>TEDARİKÇİLER</t>
    </r>
    <r>
      <rPr>
        <vertAlign val="subscript"/>
        <sz val="11"/>
        <color theme="1"/>
        <rFont val="Calibri"/>
        <family val="2"/>
        <charset val="162"/>
        <scheme val="minor"/>
      </rPr>
      <t>(i)</t>
    </r>
  </si>
  <si>
    <r>
      <t>FABRİKALAR</t>
    </r>
    <r>
      <rPr>
        <vertAlign val="subscript"/>
        <sz val="11"/>
        <color theme="1"/>
        <rFont val="Calibri"/>
        <family val="2"/>
        <charset val="162"/>
        <scheme val="minor"/>
      </rPr>
      <t>( j )</t>
    </r>
  </si>
  <si>
    <r>
      <t>C</t>
    </r>
    <r>
      <rPr>
        <vertAlign val="subscript"/>
        <sz val="11"/>
        <color theme="1"/>
        <rFont val="Segoe Print"/>
        <charset val="162"/>
      </rPr>
      <t>ijt</t>
    </r>
  </si>
  <si>
    <r>
      <t>C</t>
    </r>
    <r>
      <rPr>
        <vertAlign val="subscript"/>
        <sz val="11"/>
        <color theme="1"/>
        <rFont val="Segoe Print"/>
        <charset val="162"/>
      </rPr>
      <t>jk</t>
    </r>
  </si>
  <si>
    <r>
      <t>DAĞITIM MERKEZLERİ</t>
    </r>
    <r>
      <rPr>
        <vertAlign val="subscript"/>
        <sz val="11"/>
        <color theme="1"/>
        <rFont val="Calibri"/>
        <family val="2"/>
        <charset val="162"/>
        <scheme val="minor"/>
      </rPr>
      <t>(k)</t>
    </r>
  </si>
  <si>
    <r>
      <t>C</t>
    </r>
    <r>
      <rPr>
        <vertAlign val="subscript"/>
        <sz val="11"/>
        <color theme="1"/>
        <rFont val="Segoe Print"/>
        <charset val="162"/>
      </rPr>
      <t>kl</t>
    </r>
  </si>
  <si>
    <r>
      <t>MÜŞTERİLER</t>
    </r>
    <r>
      <rPr>
        <vertAlign val="subscript"/>
        <sz val="11"/>
        <color theme="1"/>
        <rFont val="Calibri"/>
        <family val="2"/>
        <charset val="162"/>
        <scheme val="minor"/>
      </rPr>
      <t>(l)</t>
    </r>
  </si>
  <si>
    <r>
      <t>Y</t>
    </r>
    <r>
      <rPr>
        <vertAlign val="subscript"/>
        <sz val="11"/>
        <color theme="1"/>
        <rFont val="Segoe Print"/>
        <charset val="162"/>
      </rPr>
      <t>jk</t>
    </r>
  </si>
  <si>
    <t>&gt;=</t>
  </si>
  <si>
    <r>
      <t>Z</t>
    </r>
    <r>
      <rPr>
        <vertAlign val="subscript"/>
        <sz val="11"/>
        <color theme="1"/>
        <rFont val="Segoe Print"/>
        <charset val="162"/>
      </rPr>
      <t>kl</t>
    </r>
  </si>
  <si>
    <r>
      <t>Φ</t>
    </r>
    <r>
      <rPr>
        <vertAlign val="subscript"/>
        <sz val="11"/>
        <color theme="1"/>
        <rFont val="Segoe Print"/>
        <charset val="162"/>
      </rPr>
      <t>j</t>
    </r>
  </si>
  <si>
    <r>
      <t>Δ</t>
    </r>
    <r>
      <rPr>
        <vertAlign val="subscript"/>
        <sz val="11"/>
        <color theme="1"/>
        <rFont val="Segoe Print"/>
        <charset val="162"/>
      </rPr>
      <t>k</t>
    </r>
  </si>
  <si>
    <r>
      <t>DAĞITIM MERKEZİ</t>
    </r>
    <r>
      <rPr>
        <vertAlign val="subscript"/>
        <sz val="11"/>
        <color theme="1"/>
        <rFont val="Calibri"/>
        <family val="2"/>
        <charset val="162"/>
        <scheme val="minor"/>
      </rPr>
      <t>(k)</t>
    </r>
  </si>
  <si>
    <r>
      <t>a</t>
    </r>
    <r>
      <rPr>
        <vertAlign val="subscript"/>
        <sz val="11"/>
        <color theme="1"/>
        <rFont val="Segoe Print"/>
        <charset val="162"/>
      </rPr>
      <t>it</t>
    </r>
  </si>
  <si>
    <r>
      <t>KAPASİTE</t>
    </r>
    <r>
      <rPr>
        <sz val="11"/>
        <color theme="1"/>
        <rFont val="Segoe Print"/>
        <charset val="162"/>
      </rPr>
      <t xml:space="preserve"> </t>
    </r>
    <r>
      <rPr>
        <sz val="10"/>
        <color theme="1"/>
        <rFont val="Segoe Print"/>
        <charset val="162"/>
      </rPr>
      <t>(b</t>
    </r>
    <r>
      <rPr>
        <vertAlign val="subscript"/>
        <sz val="10"/>
        <color theme="1"/>
        <rFont val="Segoe Print"/>
        <charset val="162"/>
      </rPr>
      <t>j</t>
    </r>
    <r>
      <rPr>
        <sz val="10"/>
        <color theme="1"/>
        <rFont val="Segoe Print"/>
        <charset val="162"/>
      </rPr>
      <t>)</t>
    </r>
  </si>
  <si>
    <r>
      <t>KAPASİTE (</t>
    </r>
    <r>
      <rPr>
        <sz val="11"/>
        <color theme="1"/>
        <rFont val="Segoe Print"/>
        <charset val="162"/>
      </rPr>
      <t>c</t>
    </r>
    <r>
      <rPr>
        <vertAlign val="subscript"/>
        <sz val="11"/>
        <color theme="1"/>
        <rFont val="Segoe Print"/>
        <charset val="162"/>
      </rPr>
      <t>k</t>
    </r>
    <r>
      <rPr>
        <sz val="11"/>
        <color theme="1"/>
        <rFont val="Calibri"/>
        <family val="2"/>
        <charset val="162"/>
        <scheme val="minor"/>
      </rPr>
      <t>)</t>
    </r>
  </si>
  <si>
    <r>
      <t>TEDARİKÇİ</t>
    </r>
    <r>
      <rPr>
        <vertAlign val="subscript"/>
        <sz val="11"/>
        <color theme="1"/>
        <rFont val="Calibri"/>
        <family val="2"/>
        <charset val="162"/>
        <scheme val="minor"/>
      </rPr>
      <t>(i)</t>
    </r>
  </si>
  <si>
    <r>
      <t>KOMPONENT</t>
    </r>
    <r>
      <rPr>
        <vertAlign val="subscript"/>
        <sz val="11"/>
        <color theme="1"/>
        <rFont val="Calibri"/>
        <family val="2"/>
        <charset val="162"/>
        <scheme val="minor"/>
      </rPr>
      <t>(t)</t>
    </r>
  </si>
  <si>
    <r>
      <t xml:space="preserve">TALEP </t>
    </r>
    <r>
      <rPr>
        <sz val="11"/>
        <color theme="1"/>
        <rFont val="Segoe Print"/>
        <charset val="162"/>
      </rPr>
      <t>(d</t>
    </r>
    <r>
      <rPr>
        <vertAlign val="subscript"/>
        <sz val="11"/>
        <color theme="1"/>
        <rFont val="Segoe Print"/>
        <charset val="162"/>
      </rPr>
      <t>l</t>
    </r>
    <r>
      <rPr>
        <sz val="11"/>
        <color theme="1"/>
        <rFont val="Segoe Print"/>
        <charset val="162"/>
      </rPr>
      <t>)</t>
    </r>
  </si>
  <si>
    <r>
      <t>MÜŞTERİ</t>
    </r>
    <r>
      <rPr>
        <vertAlign val="subscript"/>
        <sz val="11"/>
        <color theme="1"/>
        <rFont val="Calibri"/>
        <family val="2"/>
        <charset val="162"/>
        <scheme val="minor"/>
      </rPr>
      <t>(l)</t>
    </r>
  </si>
  <si>
    <r>
      <t>SABİT MALİYET (</t>
    </r>
    <r>
      <rPr>
        <sz val="11"/>
        <color theme="1"/>
        <rFont val="Symbol"/>
        <family val="1"/>
        <charset val="2"/>
      </rPr>
      <t>j</t>
    </r>
    <r>
      <rPr>
        <vertAlign val="subscript"/>
        <sz val="11"/>
        <color theme="1"/>
        <rFont val="Calibri"/>
        <family val="2"/>
        <charset val="162"/>
        <scheme val="minor"/>
      </rPr>
      <t>j</t>
    </r>
    <r>
      <rPr>
        <sz val="11"/>
        <color theme="1"/>
        <rFont val="Calibri"/>
        <family val="2"/>
        <charset val="162"/>
        <scheme val="minor"/>
      </rPr>
      <t>)</t>
    </r>
  </si>
  <si>
    <r>
      <t>SABİT MALİYET (</t>
    </r>
    <r>
      <rPr>
        <sz val="11"/>
        <color theme="1"/>
        <rFont val="Symbol"/>
        <family val="1"/>
        <charset val="2"/>
      </rPr>
      <t>d</t>
    </r>
    <r>
      <rPr>
        <vertAlign val="subscript"/>
        <sz val="11"/>
        <color theme="1"/>
        <rFont val="Calibri Light"/>
        <family val="2"/>
        <charset val="162"/>
        <scheme val="major"/>
      </rPr>
      <t>k</t>
    </r>
    <r>
      <rPr>
        <sz val="11"/>
        <color theme="1"/>
        <rFont val="Calibri"/>
        <family val="2"/>
        <charset val="162"/>
        <scheme val="minor"/>
      </rPr>
      <t>)</t>
    </r>
  </si>
  <si>
    <r>
      <t xml:space="preserve">KAPASİTE </t>
    </r>
    <r>
      <rPr>
        <sz val="11"/>
        <color theme="1"/>
        <rFont val="Segoe Script"/>
        <family val="4"/>
        <charset val="162"/>
      </rPr>
      <t>(</t>
    </r>
    <r>
      <rPr>
        <sz val="11"/>
        <color theme="1"/>
        <rFont val="Calibri"/>
        <family val="2"/>
        <charset val="162"/>
        <scheme val="minor"/>
      </rPr>
      <t>a</t>
    </r>
    <r>
      <rPr>
        <vertAlign val="subscript"/>
        <sz val="11"/>
        <color theme="1"/>
        <rFont val="Calibri"/>
        <family val="2"/>
        <charset val="162"/>
        <scheme val="minor"/>
      </rPr>
      <t>it</t>
    </r>
    <r>
      <rPr>
        <sz val="11"/>
        <color theme="1"/>
        <rFont val="Segoe Script"/>
        <family val="4"/>
        <charset val="162"/>
      </rPr>
      <t>)</t>
    </r>
  </si>
  <si>
    <r>
      <t>KAPASİTE (b</t>
    </r>
    <r>
      <rPr>
        <vertAlign val="subscript"/>
        <sz val="11"/>
        <color theme="1"/>
        <rFont val="Segoe Print"/>
        <charset val="162"/>
      </rPr>
      <t>j</t>
    </r>
    <r>
      <rPr>
        <sz val="11"/>
        <color theme="1"/>
        <rFont val="Calibri"/>
        <family val="2"/>
        <charset val="162"/>
        <scheme val="minor"/>
      </rPr>
      <t>)</t>
    </r>
  </si>
  <si>
    <r>
      <t>KAPASİTE (c</t>
    </r>
    <r>
      <rPr>
        <vertAlign val="subscript"/>
        <sz val="11"/>
        <color theme="1"/>
        <rFont val="Calibri"/>
        <family val="2"/>
        <charset val="162"/>
        <scheme val="minor"/>
      </rPr>
      <t>k</t>
    </r>
    <r>
      <rPr>
        <sz val="11"/>
        <color theme="1"/>
        <rFont val="Calibri"/>
        <family val="2"/>
        <charset val="162"/>
        <scheme val="minor"/>
      </rPr>
      <t>)</t>
    </r>
  </si>
  <si>
    <r>
      <t>TALEP (d</t>
    </r>
    <r>
      <rPr>
        <vertAlign val="subscript"/>
        <sz val="11"/>
        <color theme="1"/>
        <rFont val="Calibri"/>
        <family val="2"/>
        <charset val="162"/>
        <scheme val="minor"/>
      </rPr>
      <t>l</t>
    </r>
    <r>
      <rPr>
        <sz val="11"/>
        <color theme="1"/>
        <rFont val="Calibri"/>
        <family val="2"/>
        <charset val="162"/>
        <scheme val="minor"/>
      </rPr>
      <t>)</t>
    </r>
  </si>
  <si>
    <t>=</t>
  </si>
  <si>
    <t>1.Aşama Denge Kısıt Komponent t, fabrika j için denge kısıtı</t>
  </si>
  <si>
    <t>2.Aşama Denge Kısıtı Dağıtım merkezi k için denge kısıtı</t>
  </si>
  <si>
    <t>Amaç Fonksiyonu</t>
  </si>
  <si>
    <t>P=</t>
  </si>
  <si>
    <t>D=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</si>
</sst>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Segoe Print"/>
      <charset val="162"/>
    </font>
    <font>
      <vertAlign val="subscript"/>
      <sz val="11"/>
      <color theme="1"/>
      <name val="Calibri"/>
      <family val="2"/>
      <charset val="162"/>
      <scheme val="minor"/>
    </font>
    <font>
      <b/>
      <vertAlign val="subscript"/>
      <sz val="11"/>
      <color theme="1"/>
      <name val="Calibri"/>
      <family val="2"/>
      <charset val="162"/>
      <scheme val="minor"/>
    </font>
    <font>
      <vertAlign val="subscript"/>
      <sz val="11"/>
      <color theme="1"/>
      <name val="Segoe Print"/>
      <charset val="162"/>
    </font>
    <font>
      <b/>
      <sz val="10"/>
      <color theme="1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10"/>
      <color theme="1"/>
      <name val="Calibri"/>
      <family val="2"/>
      <charset val="162"/>
      <scheme val="minor"/>
    </font>
    <font>
      <sz val="10"/>
      <color theme="1"/>
      <name val="Segoe Print"/>
      <charset val="162"/>
    </font>
    <font>
      <vertAlign val="subscript"/>
      <sz val="10"/>
      <color theme="1"/>
      <name val="Segoe Print"/>
      <charset val="162"/>
    </font>
    <font>
      <sz val="11"/>
      <color theme="1"/>
      <name val="Symbol"/>
      <family val="1"/>
      <charset val="2"/>
    </font>
    <font>
      <vertAlign val="subscript"/>
      <sz val="11"/>
      <color theme="1"/>
      <name val="Calibri Light"/>
      <family val="2"/>
      <charset val="162"/>
      <scheme val="major"/>
    </font>
    <font>
      <sz val="11"/>
      <color theme="1"/>
      <name val="Segoe Script"/>
      <family val="4"/>
      <charset val="16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1" xfId="0" applyFont="1" applyBorder="1"/>
    <xf numFmtId="0" fontId="0" fillId="0" borderId="7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2" borderId="14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0" xfId="0" applyBorder="1" applyAlignment="1"/>
    <xf numFmtId="0" fontId="0" fillId="0" borderId="29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/>
    <xf numFmtId="0" fontId="0" fillId="0" borderId="27" xfId="0" applyBorder="1"/>
    <xf numFmtId="0" fontId="0" fillId="0" borderId="28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15" xfId="0" applyBorder="1"/>
    <xf numFmtId="0" fontId="0" fillId="0" borderId="31" xfId="0" applyBorder="1"/>
    <xf numFmtId="0" fontId="0" fillId="0" borderId="22" xfId="0" applyBorder="1"/>
    <xf numFmtId="0" fontId="0" fillId="0" borderId="23" xfId="0" applyBorder="1"/>
    <xf numFmtId="0" fontId="0" fillId="3" borderId="0" xfId="0" applyFill="1"/>
    <xf numFmtId="0" fontId="0" fillId="0" borderId="0" xfId="0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4" borderId="0" xfId="0" applyFill="1"/>
    <xf numFmtId="0" fontId="0" fillId="5" borderId="0" xfId="0" applyFill="1"/>
    <xf numFmtId="0" fontId="6" fillId="0" borderId="0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6" fillId="0" borderId="40" xfId="0" applyFont="1" applyBorder="1" applyAlignment="1">
      <alignment horizontal="left"/>
    </xf>
    <xf numFmtId="0" fontId="0" fillId="0" borderId="40" xfId="0" applyBorder="1" applyAlignment="1">
      <alignment horizontal="left"/>
    </xf>
    <xf numFmtId="0" fontId="6" fillId="0" borderId="40" xfId="0" applyFont="1" applyBorder="1" applyAlignment="1">
      <alignment horizontal="left" wrapText="1"/>
    </xf>
    <xf numFmtId="0" fontId="7" fillId="0" borderId="40" xfId="0" applyFont="1" applyBorder="1" applyAlignment="1">
      <alignment horizontal="left"/>
    </xf>
    <xf numFmtId="0" fontId="6" fillId="0" borderId="40" xfId="0" applyFont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2" xfId="0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100">
                <a:latin typeface="Times New Roman" panose="02020603050405020304" pitchFamily="18" charset="0"/>
                <a:cs typeface="Times New Roman" panose="02020603050405020304" pitchFamily="18" charset="0"/>
              </a:rPr>
              <a:t>Açılacak Fabrikalar</a:t>
            </a:r>
          </a:p>
        </c:rich>
      </c:tx>
      <c:layout>
        <c:manualLayout>
          <c:xMode val="edge"/>
          <c:yMode val="edge"/>
          <c:x val="0.22454104354037088"/>
          <c:y val="3.77358490566037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Fabrika 1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1-422E-8077-510E3764B08E}"/>
            </c:ext>
          </c:extLst>
        </c:ser>
        <c:ser>
          <c:idx val="1"/>
          <c:order val="1"/>
          <c:tx>
            <c:v>Fabrika 2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01-422E-8077-510E3764B08E}"/>
            </c:ext>
          </c:extLst>
        </c:ser>
        <c:ser>
          <c:idx val="2"/>
          <c:order val="2"/>
          <c:tx>
            <c:v>Fabrika 3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Kısıtlar'!$V$19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01-422E-8077-510E3764B08E}"/>
            </c:ext>
          </c:extLst>
        </c:ser>
        <c:ser>
          <c:idx val="3"/>
          <c:order val="3"/>
          <c:tx>
            <c:v>Fabrika 4</c:v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01-422E-8077-510E3764B08E}"/>
            </c:ext>
          </c:extLst>
        </c:ser>
        <c:ser>
          <c:idx val="4"/>
          <c:order val="4"/>
          <c:tx>
            <c:v>Fabrika 5</c:v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01-422E-8077-510E3764B0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523767456"/>
        <c:axId val="523758720"/>
      </c:barChart>
      <c:catAx>
        <c:axId val="523767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758720"/>
        <c:crosses val="autoZero"/>
        <c:auto val="1"/>
        <c:lblAlgn val="ctr"/>
        <c:lblOffset val="100"/>
        <c:noMultiLvlLbl val="0"/>
      </c:catAx>
      <c:valAx>
        <c:axId val="523758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237674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000">
                <a:latin typeface="Times New Roman" panose="02020603050405020304" pitchFamily="18" charset="0"/>
                <a:cs typeface="Times New Roman" panose="02020603050405020304" pitchFamily="18" charset="0"/>
              </a:rPr>
              <a:t>Açılacak Dağıtım Merkezleri</a:t>
            </a:r>
          </a:p>
        </c:rich>
      </c:tx>
      <c:layout>
        <c:manualLayout>
          <c:xMode val="edge"/>
          <c:yMode val="edge"/>
          <c:x val="0.10770634501556599"/>
          <c:y val="5.5927158155239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Dağıtım Merkezi 1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9-441C-A0F9-C05692622760}"/>
            </c:ext>
          </c:extLst>
        </c:ser>
        <c:ser>
          <c:idx val="1"/>
          <c:order val="1"/>
          <c:tx>
            <c:v>Dağıtım Merkezi 2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49-441C-A0F9-C05692622760}"/>
            </c:ext>
          </c:extLst>
        </c:ser>
        <c:ser>
          <c:idx val="2"/>
          <c:order val="2"/>
          <c:tx>
            <c:v>Dağıtım Merkezi 3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49-441C-A0F9-C05692622760}"/>
            </c:ext>
          </c:extLst>
        </c:ser>
        <c:ser>
          <c:idx val="3"/>
          <c:order val="3"/>
          <c:tx>
            <c:v>Dağıtım Merkezi 4</c:v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49-441C-A0F9-C05692622760}"/>
            </c:ext>
          </c:extLst>
        </c:ser>
        <c:ser>
          <c:idx val="4"/>
          <c:order val="4"/>
          <c:tx>
            <c:v>Dağıtım Merkezi 5</c:v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Kısıtlar'!$V$29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49-441C-A0F9-C056926227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523772032"/>
        <c:axId val="523775360"/>
      </c:barChart>
      <c:catAx>
        <c:axId val="5237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75360"/>
        <c:crosses val="autoZero"/>
        <c:auto val="1"/>
        <c:lblAlgn val="ctr"/>
        <c:lblOffset val="100"/>
        <c:noMultiLvlLbl val="0"/>
      </c:catAx>
      <c:valAx>
        <c:axId val="523775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3772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050">
                <a:latin typeface="Times New Roman" panose="02020603050405020304" pitchFamily="18" charset="0"/>
                <a:cs typeface="Times New Roman" panose="02020603050405020304" pitchFamily="18" charset="0"/>
              </a:rPr>
              <a:t>Dağıtım</a:t>
            </a:r>
            <a:r>
              <a:rPr lang="tr-TR" sz="105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merkezlerinden müşterilere gönderilen miktarlar</a:t>
            </a:r>
            <a:endParaRPr lang="tr-TR" sz="1050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72985564304461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Dağıtım Merkezi 1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Kısıtlar'!$L$26:$O$26</c:f>
              <c:numCache>
                <c:formatCode>General</c:formatCode>
                <c:ptCount val="4"/>
                <c:pt idx="0">
                  <c:v>0</c:v>
                </c:pt>
                <c:pt idx="1">
                  <c:v>330</c:v>
                </c:pt>
                <c:pt idx="2">
                  <c:v>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D0-485F-BA07-0EA09407F184}"/>
            </c:ext>
          </c:extLst>
        </c:ser>
        <c:ser>
          <c:idx val="1"/>
          <c:order val="1"/>
          <c:tx>
            <c:v>Dağıtım Merkezi 2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Kısıtlar'!$L$27:$O$27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D0-485F-BA07-0EA09407F184}"/>
            </c:ext>
          </c:extLst>
        </c:ser>
        <c:ser>
          <c:idx val="2"/>
          <c:order val="2"/>
          <c:tx>
            <c:v>Dağıtım Merkezi 3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Kısıtlar'!$L$28:$O$28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D0-485F-BA07-0EA09407F184}"/>
            </c:ext>
          </c:extLst>
        </c:ser>
        <c:ser>
          <c:idx val="3"/>
          <c:order val="3"/>
          <c:tx>
            <c:v>Dağıtım Merkezi 4</c:v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Kısıtlar'!$L$29:$O$29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D0-485F-BA07-0EA09407F184}"/>
            </c:ext>
          </c:extLst>
        </c:ser>
        <c:ser>
          <c:idx val="4"/>
          <c:order val="4"/>
          <c:tx>
            <c:v>Dağıtım Merkezi 5</c:v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Kısıtlar'!$L$30:$O$30</c:f>
              <c:numCache>
                <c:formatCode>General</c:formatCode>
                <c:ptCount val="4"/>
                <c:pt idx="0">
                  <c:v>460</c:v>
                </c:pt>
                <c:pt idx="1">
                  <c:v>0</c:v>
                </c:pt>
                <c:pt idx="2">
                  <c:v>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D0-485F-BA07-0EA09407F1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745824720"/>
        <c:axId val="745823056"/>
      </c:barChart>
      <c:catAx>
        <c:axId val="74582472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Müşteriler</a:t>
                </a:r>
              </a:p>
            </c:rich>
          </c:tx>
          <c:layout>
            <c:manualLayout>
              <c:xMode val="edge"/>
              <c:yMode val="edge"/>
              <c:x val="0.55576662292213475"/>
              <c:y val="0.9074766695829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745823056"/>
        <c:crosses val="autoZero"/>
        <c:auto val="1"/>
        <c:lblAlgn val="ctr"/>
        <c:lblOffset val="100"/>
        <c:noMultiLvlLbl val="0"/>
      </c:catAx>
      <c:valAx>
        <c:axId val="745823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58247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050">
                <a:latin typeface="Times New Roman" panose="02020603050405020304" pitchFamily="18" charset="0"/>
                <a:cs typeface="Times New Roman" panose="02020603050405020304" pitchFamily="18" charset="0"/>
              </a:rPr>
              <a:t>Fabrikalardan</a:t>
            </a:r>
            <a:r>
              <a:rPr lang="tr-TR" sz="105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Dağıtım merkezlerine gönderilen miktar</a:t>
            </a:r>
            <a:endParaRPr lang="tr-TR" sz="1050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7319444444444446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Fabrika 1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Kısıtlar'!$L$17:$P$17</c:f>
              <c:numCache>
                <c:formatCode>General</c:formatCode>
                <c:ptCount val="5"/>
                <c:pt idx="0">
                  <c:v>40</c:v>
                </c:pt>
                <c:pt idx="1">
                  <c:v>0</c:v>
                </c:pt>
                <c:pt idx="2">
                  <c:v>350</c:v>
                </c:pt>
                <c:pt idx="3">
                  <c:v>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E5-4215-83B6-CA9500E2DC61}"/>
            </c:ext>
          </c:extLst>
        </c:ser>
        <c:ser>
          <c:idx val="1"/>
          <c:order val="1"/>
          <c:tx>
            <c:v>Fabrika 2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Kısıtlar'!$L$18:$P$18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E5-4215-83B6-CA9500E2DC61}"/>
            </c:ext>
          </c:extLst>
        </c:ser>
        <c:ser>
          <c:idx val="2"/>
          <c:order val="2"/>
          <c:tx>
            <c:v>Fabrika 3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Kısıtlar'!$L$19:$P$19</c:f>
              <c:numCache>
                <c:formatCode>General</c:formatCode>
                <c:ptCount val="5"/>
                <c:pt idx="0">
                  <c:v>490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E5-4215-83B6-CA9500E2DC61}"/>
            </c:ext>
          </c:extLst>
        </c:ser>
        <c:ser>
          <c:idx val="3"/>
          <c:order val="3"/>
          <c:tx>
            <c:v>Fabrika 4</c:v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Kısıtlar'!$L$20:$P$20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E5-4215-83B6-CA9500E2DC61}"/>
            </c:ext>
          </c:extLst>
        </c:ser>
        <c:ser>
          <c:idx val="4"/>
          <c:order val="4"/>
          <c:tx>
            <c:v>Fabrika 5</c:v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Kısıtlar'!$L$21:$P$21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E5-4215-83B6-CA9500E2DC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523819296"/>
        <c:axId val="523815968"/>
      </c:barChart>
      <c:catAx>
        <c:axId val="5238192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Dağıtım Merkezleri</a:t>
                </a:r>
              </a:p>
            </c:rich>
          </c:tx>
          <c:layout>
            <c:manualLayout>
              <c:xMode val="edge"/>
              <c:yMode val="edge"/>
              <c:x val="0.42208552055993004"/>
              <c:y val="0.897777048702245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523815968"/>
        <c:crosses val="autoZero"/>
        <c:auto val="1"/>
        <c:lblAlgn val="ctr"/>
        <c:lblOffset val="100"/>
        <c:noMultiLvlLbl val="0"/>
      </c:catAx>
      <c:valAx>
        <c:axId val="5238159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3819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100">
                <a:latin typeface="Times New Roman" panose="02020603050405020304" pitchFamily="18" charset="0"/>
                <a:cs typeface="Times New Roman" panose="02020603050405020304" pitchFamily="18" charset="0"/>
              </a:rPr>
              <a:t>TEDARİKÇilerden</a:t>
            </a:r>
            <a:r>
              <a:rPr lang="tr-TR" sz="11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fabrikalara gönderilen kompenent miktarları</a:t>
            </a:r>
            <a:r>
              <a:rPr lang="tr-TR" sz="110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</a:p>
        </c:rich>
      </c:tx>
      <c:layout>
        <c:manualLayout>
          <c:xMode val="edge"/>
          <c:yMode val="edge"/>
          <c:x val="0.11774300087489062"/>
          <c:y val="1.6400166119477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1.Tedarkçi,1.Kompenent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Kısıtlar'!$L$4:$P$4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B-4A39-ABD8-F2072CE4F547}"/>
            </c:ext>
          </c:extLst>
        </c:ser>
        <c:ser>
          <c:idx val="1"/>
          <c:order val="1"/>
          <c:tx>
            <c:v>1.Tedarkçi,2.Kompenent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Kısıtlar'!$L$5:$P$5</c:f>
              <c:numCache>
                <c:formatCode>General</c:formatCode>
                <c:ptCount val="5"/>
                <c:pt idx="0">
                  <c:v>150</c:v>
                </c:pt>
                <c:pt idx="1">
                  <c:v>0</c:v>
                </c:pt>
                <c:pt idx="2">
                  <c:v>490</c:v>
                </c:pt>
                <c:pt idx="3">
                  <c:v>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B-4A39-ABD8-F2072CE4F547}"/>
            </c:ext>
          </c:extLst>
        </c:ser>
        <c:ser>
          <c:idx val="2"/>
          <c:order val="2"/>
          <c:tx>
            <c:v>1.Tedarkçi,3.Kompenent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Kısıtlar'!$L$6:$P$6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1470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7B-4A39-ABD8-F2072CE4F547}"/>
            </c:ext>
          </c:extLst>
        </c:ser>
        <c:ser>
          <c:idx val="3"/>
          <c:order val="3"/>
          <c:tx>
            <c:v>2.Tedarkçi,1.Kompenent</c:v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Kısıtlar'!$L$7:$P$7</c:f>
              <c:numCache>
                <c:formatCode>General</c:formatCode>
                <c:ptCount val="5"/>
                <c:pt idx="0">
                  <c:v>800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7B-4A39-ABD8-F2072CE4F547}"/>
            </c:ext>
          </c:extLst>
        </c:ser>
        <c:ser>
          <c:idx val="4"/>
          <c:order val="4"/>
          <c:tx>
            <c:v>2.Tedarkçi,2.Kompenent</c:v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Kısıtlar'!$L$8:$P$8</c:f>
              <c:numCache>
                <c:formatCode>General</c:formatCode>
                <c:ptCount val="5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7B-4A39-ABD8-F2072CE4F547}"/>
            </c:ext>
          </c:extLst>
        </c:ser>
        <c:ser>
          <c:idx val="5"/>
          <c:order val="5"/>
          <c:tx>
            <c:v>2.Tedarkçi,3.Kompenent</c:v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Kısıtlar'!$L$9:$P$9</c:f>
              <c:numCache>
                <c:formatCode>General</c:formatCode>
                <c:ptCount val="5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150</c:v>
                </c:pt>
                <c:pt idx="4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7B-4A39-ABD8-F2072CE4F547}"/>
            </c:ext>
          </c:extLst>
        </c:ser>
        <c:ser>
          <c:idx val="6"/>
          <c:order val="6"/>
          <c:tx>
            <c:v>3.Tedarkçi,1.Kompenent</c:v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Kısıtlar'!$L$10:$P$10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880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7B-4A39-ABD8-F2072CE4F547}"/>
            </c:ext>
          </c:extLst>
        </c:ser>
        <c:ser>
          <c:idx val="7"/>
          <c:order val="7"/>
          <c:tx>
            <c:v>3.Tedarkçi,2.Kompenent</c:v>
          </c:tx>
          <c:spPr>
            <a:pattFill prst="narHorz">
              <a:fgClr>
                <a:schemeClr val="accent2">
                  <a:lumMod val="60000"/>
                </a:schemeClr>
              </a:fgClr>
              <a:bgClr>
                <a:schemeClr val="accent2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Kısıtlar'!$L$11:$P$11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7B-4A39-ABD8-F2072CE4F547}"/>
            </c:ext>
          </c:extLst>
        </c:ser>
        <c:ser>
          <c:idx val="8"/>
          <c:order val="8"/>
          <c:tx>
            <c:v>3.Tedarkçi,3.Kompenent</c:v>
          </c:tx>
          <c:spPr>
            <a:pattFill prst="narHorz">
              <a:fgClr>
                <a:schemeClr val="accent3">
                  <a:lumMod val="60000"/>
                </a:schemeClr>
              </a:fgClr>
              <a:bgClr>
                <a:schemeClr val="accent3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'Amaç F. ve Kısıtlar'!$L$12:$P$12</c:f>
              <c:numCache>
                <c:formatCode>General</c:formatCode>
                <c:ptCount val="5"/>
                <c:pt idx="0">
                  <c:v>1175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7B-4A39-ABD8-F2072CE4F5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595383808"/>
        <c:axId val="595370080"/>
      </c:barChart>
      <c:catAx>
        <c:axId val="5953838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Fabrikalar</a:t>
                </a:r>
              </a:p>
            </c:rich>
          </c:tx>
          <c:layout>
            <c:manualLayout>
              <c:xMode val="edge"/>
              <c:yMode val="edge"/>
              <c:x val="0.48741885389326334"/>
              <c:y val="0.943035233178634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95370080"/>
        <c:crosses val="autoZero"/>
        <c:auto val="1"/>
        <c:lblAlgn val="ctr"/>
        <c:lblOffset val="100"/>
        <c:noMultiLvlLbl val="0"/>
      </c:catAx>
      <c:valAx>
        <c:axId val="595370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53838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5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4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20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5" Type="http://schemas.openxmlformats.org/officeDocument/2006/relationships/image" Target="../media/image2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11</xdr:row>
      <xdr:rowOff>0</xdr:rowOff>
    </xdr:from>
    <xdr:to>
      <xdr:col>8</xdr:col>
      <xdr:colOff>581025</xdr:colOff>
      <xdr:row>32</xdr:row>
      <xdr:rowOff>75605</xdr:rowOff>
    </xdr:to>
    <xdr:pic>
      <xdr:nvPicPr>
        <xdr:cNvPr id="8" name="Resim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857375"/>
          <a:ext cx="5438775" cy="47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571500</xdr:colOff>
      <xdr:row>8</xdr:row>
      <xdr:rowOff>266700</xdr:rowOff>
    </xdr:to>
    <xdr:pic>
      <xdr:nvPicPr>
        <xdr:cNvPr id="9" name="Resim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448300" cy="1828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581025</xdr:colOff>
      <xdr:row>33</xdr:row>
      <xdr:rowOff>161330</xdr:rowOff>
    </xdr:to>
    <xdr:grpSp>
      <xdr:nvGrpSpPr>
        <xdr:cNvPr id="12" name="Grup 11"/>
        <xdr:cNvGrpSpPr/>
      </xdr:nvGrpSpPr>
      <xdr:grpSpPr>
        <a:xfrm>
          <a:off x="0" y="0"/>
          <a:ext cx="5479596" cy="7427544"/>
          <a:chOff x="28575" y="0"/>
          <a:chExt cx="5457825" cy="6619280"/>
        </a:xfrm>
      </xdr:grpSpPr>
      <xdr:pic>
        <xdr:nvPicPr>
          <xdr:cNvPr id="10" name="Resim 9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7625" y="1857375"/>
            <a:ext cx="5438775" cy="4761905"/>
          </a:xfrm>
          <a:prstGeom prst="rect">
            <a:avLst/>
          </a:prstGeom>
        </xdr:spPr>
      </xdr:pic>
      <xdr:pic>
        <xdr:nvPicPr>
          <xdr:cNvPr id="11" name="Resim 10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8575" y="0"/>
            <a:ext cx="5448300" cy="1828800"/>
          </a:xfrm>
          <a:prstGeom prst="rect">
            <a:avLst/>
          </a:prstGeom>
        </xdr:spPr>
      </xdr:pic>
    </xdr:grpSp>
    <xdr:clientData/>
  </xdr:twoCellAnchor>
  <xdr:twoCellAnchor editAs="oneCell">
    <xdr:from>
      <xdr:col>12</xdr:col>
      <xdr:colOff>542925</xdr:colOff>
      <xdr:row>0</xdr:row>
      <xdr:rowOff>47625</xdr:rowOff>
    </xdr:from>
    <xdr:to>
      <xdr:col>18</xdr:col>
      <xdr:colOff>180975</xdr:colOff>
      <xdr:row>6</xdr:row>
      <xdr:rowOff>38100</xdr:rowOff>
    </xdr:to>
    <xdr:pic>
      <xdr:nvPicPr>
        <xdr:cNvPr id="14" name="Resim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47625"/>
          <a:ext cx="3924300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752475</xdr:colOff>
          <xdr:row>1</xdr:row>
          <xdr:rowOff>161925</xdr:rowOff>
        </xdr:from>
        <xdr:to>
          <xdr:col>20</xdr:col>
          <xdr:colOff>885825</xdr:colOff>
          <xdr:row>4</xdr:row>
          <xdr:rowOff>76200</xdr:rowOff>
        </xdr:to>
        <xdr:sp macro="" textlink="">
          <xdr:nvSpPr>
            <xdr:cNvPr id="1026" name="Toggle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209550</xdr:colOff>
      <xdr:row>3</xdr:row>
      <xdr:rowOff>0</xdr:rowOff>
    </xdr:from>
    <xdr:to>
      <xdr:col>19</xdr:col>
      <xdr:colOff>762000</xdr:colOff>
      <xdr:row>5</xdr:row>
      <xdr:rowOff>104775</xdr:rowOff>
    </xdr:to>
    <xdr:sp macro="" textlink="">
      <xdr:nvSpPr>
        <xdr:cNvPr id="2" name="Sağa Bükülü Ok 1"/>
        <xdr:cNvSpPr/>
      </xdr:nvSpPr>
      <xdr:spPr>
        <a:xfrm>
          <a:off x="13992225" y="581025"/>
          <a:ext cx="552450" cy="504825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26</xdr:row>
      <xdr:rowOff>152152</xdr:rowOff>
    </xdr:to>
    <xdr:grpSp>
      <xdr:nvGrpSpPr>
        <xdr:cNvPr id="7" name="Grup 6"/>
        <xdr:cNvGrpSpPr/>
      </xdr:nvGrpSpPr>
      <xdr:grpSpPr>
        <a:xfrm>
          <a:off x="0" y="0"/>
          <a:ext cx="4898571" cy="5812723"/>
          <a:chOff x="0" y="0"/>
          <a:chExt cx="4876800" cy="5105152"/>
        </a:xfrm>
      </xdr:grpSpPr>
      <xdr:pic>
        <xdr:nvPicPr>
          <xdr:cNvPr id="2" name="Resim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" y="0"/>
            <a:ext cx="4876799" cy="3123809"/>
          </a:xfrm>
          <a:prstGeom prst="rect">
            <a:avLst/>
          </a:prstGeom>
        </xdr:spPr>
      </xdr:pic>
      <xdr:pic>
        <xdr:nvPicPr>
          <xdr:cNvPr id="5" name="Resim 4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0" y="3124200"/>
            <a:ext cx="4867275" cy="1980952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895350</xdr:colOff>
          <xdr:row>1</xdr:row>
          <xdr:rowOff>238125</xdr:rowOff>
        </xdr:from>
        <xdr:to>
          <xdr:col>22</xdr:col>
          <xdr:colOff>533400</xdr:colOff>
          <xdr:row>4</xdr:row>
          <xdr:rowOff>114300</xdr:rowOff>
        </xdr:to>
        <xdr:sp macro="" textlink="">
          <xdr:nvSpPr>
            <xdr:cNvPr id="2049" name="Toggle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342900</xdr:colOff>
      <xdr:row>2</xdr:row>
      <xdr:rowOff>238125</xdr:rowOff>
    </xdr:from>
    <xdr:to>
      <xdr:col>20</xdr:col>
      <xdr:colOff>895350</xdr:colOff>
      <xdr:row>5</xdr:row>
      <xdr:rowOff>114300</xdr:rowOff>
    </xdr:to>
    <xdr:sp macro="" textlink="">
      <xdr:nvSpPr>
        <xdr:cNvPr id="6" name="Sağa Bükülü Ok 5"/>
        <xdr:cNvSpPr/>
      </xdr:nvSpPr>
      <xdr:spPr>
        <a:xfrm>
          <a:off x="13887450" y="742950"/>
          <a:ext cx="552450" cy="504825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19050</xdr:rowOff>
    </xdr:from>
    <xdr:to>
      <xdr:col>13</xdr:col>
      <xdr:colOff>381000</xdr:colOff>
      <xdr:row>16</xdr:row>
      <xdr:rowOff>0</xdr:rowOff>
    </xdr:to>
    <xdr:sp macro="" textlink="">
      <xdr:nvSpPr>
        <xdr:cNvPr id="7" name="Dikdörtgen 6"/>
        <xdr:cNvSpPr/>
      </xdr:nvSpPr>
      <xdr:spPr>
        <a:xfrm>
          <a:off x="4400550" y="19050"/>
          <a:ext cx="3905250" cy="30289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762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tr-T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0</xdr:row>
          <xdr:rowOff>114300</xdr:rowOff>
        </xdr:from>
        <xdr:to>
          <xdr:col>13</xdr:col>
          <xdr:colOff>161925</xdr:colOff>
          <xdr:row>15</xdr:row>
          <xdr:rowOff>104775</xdr:rowOff>
        </xdr:to>
        <xdr:grpSp>
          <xdr:nvGrpSpPr>
            <xdr:cNvPr id="5" name="Grup 4"/>
            <xdr:cNvGrpSpPr/>
          </xdr:nvGrpSpPr>
          <xdr:grpSpPr>
            <a:xfrm>
              <a:off x="4591050" y="114300"/>
              <a:ext cx="3495675" cy="2847975"/>
              <a:chOff x="4591050" y="114300"/>
              <a:chExt cx="3495675" cy="2847975"/>
            </a:xfrm>
          </xdr:grpSpPr>
          <xdr:sp macro="" textlink="">
            <xdr:nvSpPr>
              <xdr:cNvPr id="3073" name="CommandButton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4591050" y="2076450"/>
                <a:ext cx="3495675" cy="4476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4" name="Label5" hidden="1">
                <a:extLst>
                  <a:ext uri="{63B3BB69-23CF-44E3-9099-C40C66FF867C}">
                    <a14:compatExt spid="_x0000_s3084"/>
                  </a:ext>
                </a:extLst>
              </xdr:cNvPr>
              <xdr:cNvSpPr/>
            </xdr:nvSpPr>
            <xdr:spPr bwMode="auto">
              <a:xfrm>
                <a:off x="6124575" y="2552700"/>
                <a:ext cx="1371600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2" name="Grup 1"/>
              <xdr:cNvGrpSpPr/>
            </xdr:nvGrpSpPr>
            <xdr:grpSpPr>
              <a:xfrm>
                <a:off x="4724399" y="114300"/>
                <a:ext cx="3228976" cy="1895476"/>
                <a:chOff x="4886324" y="438150"/>
                <a:chExt cx="3228976" cy="1895476"/>
              </a:xfrm>
            </xdr:grpSpPr>
            <xdr:sp macro="" textlink="">
              <xdr:nvSpPr>
                <xdr:cNvPr id="3076" name="MusteriTalebi1" hidden="1">
                  <a:extLst>
                    <a:ext uri="{63B3BB69-23CF-44E3-9099-C40C66FF867C}">
                      <a14:compatExt spid="_x0000_s3076"/>
                    </a:ext>
                  </a:extLst>
                </xdr:cNvPr>
                <xdr:cNvSpPr/>
              </xdr:nvSpPr>
              <xdr:spPr bwMode="auto">
                <a:xfrm>
                  <a:off x="6705601" y="438150"/>
                  <a:ext cx="9525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7" name="MusteriTalebi2" hidden="1">
                  <a:extLst>
                    <a:ext uri="{63B3BB69-23CF-44E3-9099-C40C66FF867C}">
                      <a14:compatExt spid="_x0000_s3077"/>
                    </a:ext>
                  </a:extLst>
                </xdr:cNvPr>
                <xdr:cNvSpPr/>
              </xdr:nvSpPr>
              <xdr:spPr bwMode="auto">
                <a:xfrm>
                  <a:off x="6705600" y="933450"/>
                  <a:ext cx="9525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8" name="MusteriTalebi3" hidden="1">
                  <a:extLst>
                    <a:ext uri="{63B3BB69-23CF-44E3-9099-C40C66FF867C}">
                      <a14:compatExt spid="_x0000_s3078"/>
                    </a:ext>
                  </a:extLst>
                </xdr:cNvPr>
                <xdr:cNvSpPr/>
              </xdr:nvSpPr>
              <xdr:spPr bwMode="auto">
                <a:xfrm>
                  <a:off x="6705600" y="1495426"/>
                  <a:ext cx="9525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9" name="MusteriTalebi4" hidden="1">
                  <a:extLst>
                    <a:ext uri="{63B3BB69-23CF-44E3-9099-C40C66FF867C}">
                      <a14:compatExt spid="_x0000_s3079"/>
                    </a:ext>
                  </a:extLst>
                </xdr:cNvPr>
                <xdr:cNvSpPr/>
              </xdr:nvSpPr>
              <xdr:spPr bwMode="auto">
                <a:xfrm>
                  <a:off x="6705600" y="2019301"/>
                  <a:ext cx="9525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0" name="Label1" hidden="1">
                  <a:extLst>
                    <a:ext uri="{63B3BB69-23CF-44E3-9099-C40C66FF867C}">
                      <a14:compatExt spid="_x0000_s3080"/>
                    </a:ext>
                  </a:extLst>
                </xdr:cNvPr>
                <xdr:cNvSpPr/>
              </xdr:nvSpPr>
              <xdr:spPr bwMode="auto">
                <a:xfrm>
                  <a:off x="4895849" y="466725"/>
                  <a:ext cx="1543051" cy="2762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1" name="Label2" hidden="1">
                  <a:extLst>
                    <a:ext uri="{63B3BB69-23CF-44E3-9099-C40C66FF867C}">
                      <a14:compatExt spid="_x0000_s3081"/>
                    </a:ext>
                  </a:extLst>
                </xdr:cNvPr>
                <xdr:cNvSpPr/>
              </xdr:nvSpPr>
              <xdr:spPr bwMode="auto">
                <a:xfrm>
                  <a:off x="4886324" y="962025"/>
                  <a:ext cx="1543050" cy="2762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2" name="Label3" hidden="1">
                  <a:extLst>
                    <a:ext uri="{63B3BB69-23CF-44E3-9099-C40C66FF867C}">
                      <a14:compatExt spid="_x0000_s3082"/>
                    </a:ext>
                  </a:extLst>
                </xdr:cNvPr>
                <xdr:cNvSpPr/>
              </xdr:nvSpPr>
              <xdr:spPr bwMode="auto">
                <a:xfrm>
                  <a:off x="4905375" y="1504951"/>
                  <a:ext cx="1543050" cy="2762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3" name="Label4" hidden="1">
                  <a:extLst>
                    <a:ext uri="{63B3BB69-23CF-44E3-9099-C40C66FF867C}">
                      <a14:compatExt spid="_x0000_s3083"/>
                    </a:ext>
                  </a:extLst>
                </xdr:cNvPr>
                <xdr:cNvSpPr/>
              </xdr:nvSpPr>
              <xdr:spPr bwMode="auto">
                <a:xfrm>
                  <a:off x="4914900" y="2047875"/>
                  <a:ext cx="1543050" cy="2730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5" name="Label6" hidden="1">
                  <a:extLst>
                    <a:ext uri="{63B3BB69-23CF-44E3-9099-C40C66FF867C}">
                      <a14:compatExt spid="_x0000_s3085"/>
                    </a:ext>
                  </a:extLst>
                </xdr:cNvPr>
                <xdr:cNvSpPr/>
              </xdr:nvSpPr>
              <xdr:spPr bwMode="auto">
                <a:xfrm>
                  <a:off x="7648575" y="438150"/>
                  <a:ext cx="466725" cy="3048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6" name="Label7" hidden="1">
                  <a:extLst>
                    <a:ext uri="{63B3BB69-23CF-44E3-9099-C40C66FF867C}">
                      <a14:compatExt spid="_x0000_s3086"/>
                    </a:ext>
                  </a:extLst>
                </xdr:cNvPr>
                <xdr:cNvSpPr/>
              </xdr:nvSpPr>
              <xdr:spPr bwMode="auto">
                <a:xfrm>
                  <a:off x="7648575" y="933450"/>
                  <a:ext cx="466725" cy="3048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7" name="Label8" hidden="1">
                  <a:extLst>
                    <a:ext uri="{63B3BB69-23CF-44E3-9099-C40C66FF867C}">
                      <a14:compatExt spid="_x0000_s3087"/>
                    </a:ext>
                  </a:extLst>
                </xdr:cNvPr>
                <xdr:cNvSpPr/>
              </xdr:nvSpPr>
              <xdr:spPr bwMode="auto">
                <a:xfrm>
                  <a:off x="7648575" y="1495425"/>
                  <a:ext cx="466725" cy="3048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8" name="Label9" hidden="1">
                  <a:extLst>
                    <a:ext uri="{63B3BB69-23CF-44E3-9099-C40C66FF867C}">
                      <a14:compatExt spid="_x0000_s3088"/>
                    </a:ext>
                  </a:extLst>
                </xdr:cNvPr>
                <xdr:cNvSpPr/>
              </xdr:nvSpPr>
              <xdr:spPr bwMode="auto">
                <a:xfrm>
                  <a:off x="7648575" y="2019300"/>
                  <a:ext cx="466725" cy="3048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3089" name="Label10" hidden="1">
                <a:extLst>
                  <a:ext uri="{63B3BB69-23CF-44E3-9099-C40C66FF867C}">
                    <a14:compatExt spid="_x0000_s3089"/>
                  </a:ext>
                </a:extLst>
              </xdr:cNvPr>
              <xdr:cNvSpPr/>
            </xdr:nvSpPr>
            <xdr:spPr bwMode="auto">
              <a:xfrm>
                <a:off x="7477125" y="2552700"/>
                <a:ext cx="600075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21</xdr:col>
      <xdr:colOff>57150</xdr:colOff>
      <xdr:row>35</xdr:row>
      <xdr:rowOff>142875</xdr:rowOff>
    </xdr:to>
    <xdr:grpSp>
      <xdr:nvGrpSpPr>
        <xdr:cNvPr id="6" name="Grup 5"/>
        <xdr:cNvGrpSpPr/>
      </xdr:nvGrpSpPr>
      <xdr:grpSpPr>
        <a:xfrm>
          <a:off x="0" y="0"/>
          <a:ext cx="12858750" cy="6810375"/>
          <a:chOff x="0" y="0"/>
          <a:chExt cx="12858750" cy="6810375"/>
        </a:xfrm>
      </xdr:grpSpPr>
      <xdr:graphicFrame macro="">
        <xdr:nvGraphicFramePr>
          <xdr:cNvPr id="18" name="Grafik 17"/>
          <xdr:cNvGraphicFramePr>
            <a:graphicFrameLocks/>
          </xdr:cNvGraphicFramePr>
        </xdr:nvGraphicFramePr>
        <xdr:xfrm>
          <a:off x="4391025" y="3038475"/>
          <a:ext cx="3913533" cy="180645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9" name="Grafik 18"/>
          <xdr:cNvGraphicFramePr>
            <a:graphicFrameLocks/>
          </xdr:cNvGraphicFramePr>
        </xdr:nvGraphicFramePr>
        <xdr:xfrm>
          <a:off x="4400550" y="4851730"/>
          <a:ext cx="3913533" cy="19491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0" name="Grafik 19"/>
          <xdr:cNvGraphicFramePr>
            <a:graphicFrameLocks/>
          </xdr:cNvGraphicFramePr>
        </xdr:nvGraphicFramePr>
        <xdr:xfrm>
          <a:off x="0" y="2533650"/>
          <a:ext cx="4394142" cy="29039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2" name="Grafik 21"/>
          <xdr:cNvGraphicFramePr>
            <a:graphicFrameLocks/>
          </xdr:cNvGraphicFramePr>
        </xdr:nvGraphicFramePr>
        <xdr:xfrm>
          <a:off x="0" y="0"/>
          <a:ext cx="4394142" cy="25546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Grafik 22"/>
          <xdr:cNvGraphicFramePr>
            <a:graphicFrameLocks/>
          </xdr:cNvGraphicFramePr>
        </xdr:nvGraphicFramePr>
        <xdr:xfrm>
          <a:off x="8317484" y="0"/>
          <a:ext cx="4531459" cy="54586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pic>
        <xdr:nvPicPr>
          <xdr:cNvPr id="3" name="Resim 2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5467350"/>
            <a:ext cx="4374524" cy="1323975"/>
          </a:xfrm>
          <a:prstGeom prst="rect">
            <a:avLst/>
          </a:prstGeom>
        </xdr:spPr>
      </xdr:pic>
      <xdr:pic>
        <xdr:nvPicPr>
          <xdr:cNvPr id="4" name="Resim 3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6908" y="5478607"/>
            <a:ext cx="4511842" cy="133176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13</xdr:row>
          <xdr:rowOff>104775</xdr:rowOff>
        </xdr:from>
        <xdr:to>
          <xdr:col>9</xdr:col>
          <xdr:colOff>504825</xdr:colOff>
          <xdr:row>15</xdr:row>
          <xdr:rowOff>66675</xdr:rowOff>
        </xdr:to>
        <xdr:sp macro="" textlink="">
          <xdr:nvSpPr>
            <xdr:cNvPr id="3090" name="ToggleButton1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0</xdr:rowOff>
    </xdr:from>
    <xdr:to>
      <xdr:col>7</xdr:col>
      <xdr:colOff>152401</xdr:colOff>
      <xdr:row>14</xdr:row>
      <xdr:rowOff>0</xdr:rowOff>
    </xdr:to>
    <xdr:cxnSp macro="">
      <xdr:nvCxnSpPr>
        <xdr:cNvPr id="4" name="Düz Ok Bağlayıcısı 3"/>
        <xdr:cNvCxnSpPr/>
      </xdr:nvCxnSpPr>
      <xdr:spPr>
        <a:xfrm flipH="1">
          <a:off x="2333625" y="2667000"/>
          <a:ext cx="2085976" cy="0"/>
        </a:xfrm>
        <a:prstGeom prst="straightConnector1">
          <a:avLst/>
        </a:prstGeom>
        <a:ln w="762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12</xdr:row>
      <xdr:rowOff>133350</xdr:rowOff>
    </xdr:from>
    <xdr:to>
      <xdr:col>7</xdr:col>
      <xdr:colOff>285750</xdr:colOff>
      <xdr:row>15</xdr:row>
      <xdr:rowOff>76200</xdr:rowOff>
    </xdr:to>
    <xdr:sp macro="" textlink="">
      <xdr:nvSpPr>
        <xdr:cNvPr id="5" name="Oval 4"/>
        <xdr:cNvSpPr/>
      </xdr:nvSpPr>
      <xdr:spPr>
        <a:xfrm>
          <a:off x="4295775" y="2419350"/>
          <a:ext cx="257175" cy="5143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14</xdr:col>
      <xdr:colOff>295276</xdr:colOff>
      <xdr:row>13</xdr:row>
      <xdr:rowOff>161925</xdr:rowOff>
    </xdr:from>
    <xdr:to>
      <xdr:col>17</xdr:col>
      <xdr:colOff>276225</xdr:colOff>
      <xdr:row>13</xdr:row>
      <xdr:rowOff>161926</xdr:rowOff>
    </xdr:to>
    <xdr:cxnSp macro="">
      <xdr:nvCxnSpPr>
        <xdr:cNvPr id="7" name="Düz Ok Bağlayıcısı 6"/>
        <xdr:cNvCxnSpPr/>
      </xdr:nvCxnSpPr>
      <xdr:spPr>
        <a:xfrm flipV="1">
          <a:off x="8829676" y="2638425"/>
          <a:ext cx="1809749" cy="1"/>
        </a:xfrm>
        <a:prstGeom prst="straightConnector1">
          <a:avLst/>
        </a:prstGeom>
        <a:ln w="762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12</xdr:row>
      <xdr:rowOff>76202</xdr:rowOff>
    </xdr:from>
    <xdr:to>
      <xdr:col>14</xdr:col>
      <xdr:colOff>419100</xdr:colOff>
      <xdr:row>15</xdr:row>
      <xdr:rowOff>19052</xdr:rowOff>
    </xdr:to>
    <xdr:sp macro="" textlink="">
      <xdr:nvSpPr>
        <xdr:cNvPr id="22" name="Oval 21"/>
        <xdr:cNvSpPr/>
      </xdr:nvSpPr>
      <xdr:spPr>
        <a:xfrm rot="10800000">
          <a:off x="8696325" y="2362202"/>
          <a:ext cx="257175" cy="5143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10</xdr:col>
      <xdr:colOff>495300</xdr:colOff>
      <xdr:row>17</xdr:row>
      <xdr:rowOff>95250</xdr:rowOff>
    </xdr:from>
    <xdr:to>
      <xdr:col>10</xdr:col>
      <xdr:colOff>495300</xdr:colOff>
      <xdr:row>22</xdr:row>
      <xdr:rowOff>28575</xdr:rowOff>
    </xdr:to>
    <xdr:cxnSp macro="">
      <xdr:nvCxnSpPr>
        <xdr:cNvPr id="11" name="Düz Ok Bağlayıcısı 10"/>
        <xdr:cNvCxnSpPr/>
      </xdr:nvCxnSpPr>
      <xdr:spPr>
        <a:xfrm>
          <a:off x="6591300" y="3333750"/>
          <a:ext cx="0" cy="885825"/>
        </a:xfrm>
        <a:prstGeom prst="straightConnector1">
          <a:avLst/>
        </a:prstGeom>
        <a:ln w="762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214313</xdr:colOff>
      <xdr:row>16</xdr:row>
      <xdr:rowOff>80967</xdr:rowOff>
    </xdr:from>
    <xdr:to>
      <xdr:col>11</xdr:col>
      <xdr:colOff>119063</xdr:colOff>
      <xdr:row>17</xdr:row>
      <xdr:rowOff>147642</xdr:rowOff>
    </xdr:to>
    <xdr:sp macro="" textlink="">
      <xdr:nvSpPr>
        <xdr:cNvPr id="21" name="Oval 20"/>
        <xdr:cNvSpPr/>
      </xdr:nvSpPr>
      <xdr:spPr>
        <a:xfrm rot="5400000">
          <a:off x="6438900" y="3000380"/>
          <a:ext cx="257175" cy="5143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171448</xdr:colOff>
      <xdr:row>0</xdr:row>
      <xdr:rowOff>114301</xdr:rowOff>
    </xdr:from>
    <xdr:to>
      <xdr:col>20</xdr:col>
      <xdr:colOff>609599</xdr:colOff>
      <xdr:row>10</xdr:row>
      <xdr:rowOff>95250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8" y="114301"/>
          <a:ext cx="12630151" cy="1885949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11</xdr:row>
          <xdr:rowOff>47625</xdr:rowOff>
        </xdr:from>
        <xdr:to>
          <xdr:col>14</xdr:col>
          <xdr:colOff>266700</xdr:colOff>
          <xdr:row>17</xdr:row>
          <xdr:rowOff>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12</xdr:row>
          <xdr:rowOff>123825</xdr:rowOff>
        </xdr:from>
        <xdr:to>
          <xdr:col>3</xdr:col>
          <xdr:colOff>276225</xdr:colOff>
          <xdr:row>15</xdr:row>
          <xdr:rowOff>57150</xdr:rowOff>
        </xdr:to>
        <xdr:sp macro="" textlink="">
          <xdr:nvSpPr>
            <xdr:cNvPr id="4098" name="Toggle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600075</xdr:colOff>
          <xdr:row>12</xdr:row>
          <xdr:rowOff>0</xdr:rowOff>
        </xdr:from>
        <xdr:to>
          <xdr:col>20</xdr:col>
          <xdr:colOff>247650</xdr:colOff>
          <xdr:row>15</xdr:row>
          <xdr:rowOff>47625</xdr:rowOff>
        </xdr:to>
        <xdr:sp macro="" textlink="">
          <xdr:nvSpPr>
            <xdr:cNvPr id="4099" name="ToggleButton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22</xdr:row>
          <xdr:rowOff>123825</xdr:rowOff>
        </xdr:from>
        <xdr:to>
          <xdr:col>12</xdr:col>
          <xdr:colOff>581025</xdr:colOff>
          <xdr:row>25</xdr:row>
          <xdr:rowOff>28575</xdr:rowOff>
        </xdr:to>
        <xdr:sp macro="" textlink="">
          <xdr:nvSpPr>
            <xdr:cNvPr id="4100" name="ToggleButton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66675</xdr:rowOff>
        </xdr:from>
        <xdr:to>
          <xdr:col>4</xdr:col>
          <xdr:colOff>428625</xdr:colOff>
          <xdr:row>33</xdr:row>
          <xdr:rowOff>66675</xdr:rowOff>
        </xdr:to>
        <xdr:sp macro="" textlink="">
          <xdr:nvSpPr>
            <xdr:cNvPr id="4101" name="ToggleButton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28</xdr:row>
          <xdr:rowOff>66675</xdr:rowOff>
        </xdr:from>
        <xdr:to>
          <xdr:col>9</xdr:col>
          <xdr:colOff>361950</xdr:colOff>
          <xdr:row>33</xdr:row>
          <xdr:rowOff>66675</xdr:rowOff>
        </xdr:to>
        <xdr:sp macro="" textlink="">
          <xdr:nvSpPr>
            <xdr:cNvPr id="4103" name="ToggleButton6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28</xdr:row>
          <xdr:rowOff>66675</xdr:rowOff>
        </xdr:from>
        <xdr:to>
          <xdr:col>14</xdr:col>
          <xdr:colOff>161925</xdr:colOff>
          <xdr:row>33</xdr:row>
          <xdr:rowOff>66675</xdr:rowOff>
        </xdr:to>
        <xdr:sp macro="" textlink="">
          <xdr:nvSpPr>
            <xdr:cNvPr id="4104" name="ToggleButton7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28</xdr:row>
          <xdr:rowOff>66675</xdr:rowOff>
        </xdr:from>
        <xdr:to>
          <xdr:col>19</xdr:col>
          <xdr:colOff>390525</xdr:colOff>
          <xdr:row>33</xdr:row>
          <xdr:rowOff>66675</xdr:rowOff>
        </xdr:to>
        <xdr:sp macro="" textlink="">
          <xdr:nvSpPr>
            <xdr:cNvPr id="4105" name="ToggleButton8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171450</xdr:colOff>
      <xdr:row>25</xdr:row>
      <xdr:rowOff>114300</xdr:rowOff>
    </xdr:from>
    <xdr:to>
      <xdr:col>16</xdr:col>
      <xdr:colOff>66675</xdr:colOff>
      <xdr:row>27</xdr:row>
      <xdr:rowOff>47625</xdr:rowOff>
    </xdr:to>
    <xdr:sp macro="" textlink="">
      <xdr:nvSpPr>
        <xdr:cNvPr id="3" name="Dikdörtgen 2"/>
        <xdr:cNvSpPr/>
      </xdr:nvSpPr>
      <xdr:spPr>
        <a:xfrm>
          <a:off x="3219450" y="4876800"/>
          <a:ext cx="6600825" cy="31432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600">
              <a:latin typeface="Times New Roman" panose="02020603050405020304" pitchFamily="18" charset="0"/>
              <a:cs typeface="Times New Roman" panose="02020603050405020304" pitchFamily="18" charset="0"/>
            </a:rPr>
            <a:t>TEDARİK</a:t>
          </a:r>
          <a:r>
            <a:rPr lang="tr-TR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ZİNCİRİ YÖNETİMİ YETKİLİLERİ</a:t>
          </a:r>
          <a:endParaRPr lang="tr-TR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444500</xdr:colOff>
      <xdr:row>26</xdr:row>
      <xdr:rowOff>80962</xdr:rowOff>
    </xdr:from>
    <xdr:to>
      <xdr:col>5</xdr:col>
      <xdr:colOff>171451</xdr:colOff>
      <xdr:row>30</xdr:row>
      <xdr:rowOff>120649</xdr:rowOff>
    </xdr:to>
    <xdr:cxnSp macro="">
      <xdr:nvCxnSpPr>
        <xdr:cNvPr id="6" name="Dirsek Bağlayıcısı 5"/>
        <xdr:cNvCxnSpPr>
          <a:stCxn id="3" idx="1"/>
        </xdr:cNvCxnSpPr>
      </xdr:nvCxnSpPr>
      <xdr:spPr>
        <a:xfrm rot="10800000" flipV="1">
          <a:off x="2882900" y="5033962"/>
          <a:ext cx="336551" cy="801687"/>
        </a:xfrm>
        <a:prstGeom prst="bentConnector3">
          <a:avLst>
            <a:gd name="adj1" fmla="val 50000"/>
          </a:avLst>
        </a:prstGeom>
        <a:ln w="38100">
          <a:solidFill>
            <a:schemeClr val="tx1">
              <a:lumMod val="95000"/>
              <a:lumOff val="5000"/>
            </a:schemeClr>
          </a:solidFill>
          <a:headEnd type="diamond" w="lg" len="lg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377826</xdr:colOff>
      <xdr:row>27</xdr:row>
      <xdr:rowOff>47624</xdr:rowOff>
    </xdr:from>
    <xdr:to>
      <xdr:col>10</xdr:col>
      <xdr:colOff>423864</xdr:colOff>
      <xdr:row>30</xdr:row>
      <xdr:rowOff>120649</xdr:rowOff>
    </xdr:to>
    <xdr:cxnSp macro="">
      <xdr:nvCxnSpPr>
        <xdr:cNvPr id="18" name="Dirsek Bağlayıcısı 17"/>
        <xdr:cNvCxnSpPr>
          <a:stCxn id="3" idx="2"/>
        </xdr:cNvCxnSpPr>
      </xdr:nvCxnSpPr>
      <xdr:spPr>
        <a:xfrm rot="5400000">
          <a:off x="5869782" y="5185568"/>
          <a:ext cx="644525" cy="655638"/>
        </a:xfrm>
        <a:prstGeom prst="bentConnector2">
          <a:avLst/>
        </a:prstGeom>
        <a:ln w="28575">
          <a:solidFill>
            <a:schemeClr val="tx1">
              <a:lumMod val="95000"/>
              <a:lumOff val="5000"/>
            </a:schemeClr>
          </a:solidFill>
          <a:headEnd type="diamond" w="lg" len="lg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423863</xdr:colOff>
      <xdr:row>27</xdr:row>
      <xdr:rowOff>47624</xdr:rowOff>
    </xdr:from>
    <xdr:to>
      <xdr:col>11</xdr:col>
      <xdr:colOff>419100</xdr:colOff>
      <xdr:row>30</xdr:row>
      <xdr:rowOff>120649</xdr:rowOff>
    </xdr:to>
    <xdr:cxnSp macro="">
      <xdr:nvCxnSpPr>
        <xdr:cNvPr id="20" name="Dirsek Bağlayıcısı 19"/>
        <xdr:cNvCxnSpPr>
          <a:stCxn id="3" idx="2"/>
        </xdr:cNvCxnSpPr>
      </xdr:nvCxnSpPr>
      <xdr:spPr>
        <a:xfrm rot="16200000" flipH="1">
          <a:off x="6500019" y="5210968"/>
          <a:ext cx="644525" cy="604837"/>
        </a:xfrm>
        <a:prstGeom prst="bentConnector2">
          <a:avLst/>
        </a:prstGeom>
        <a:ln w="28575">
          <a:solidFill>
            <a:schemeClr val="tx1">
              <a:lumMod val="95000"/>
              <a:lumOff val="5000"/>
            </a:schemeClr>
          </a:solidFill>
          <a:headEnd type="diamond" w="lg" len="lg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26</xdr:row>
      <xdr:rowOff>80963</xdr:rowOff>
    </xdr:from>
    <xdr:to>
      <xdr:col>17</xdr:col>
      <xdr:colOff>38100</xdr:colOff>
      <xdr:row>30</xdr:row>
      <xdr:rowOff>120650</xdr:rowOff>
    </xdr:to>
    <xdr:cxnSp macro="">
      <xdr:nvCxnSpPr>
        <xdr:cNvPr id="24" name="Dirsek Bağlayıcısı 23"/>
        <xdr:cNvCxnSpPr>
          <a:stCxn id="3" idx="3"/>
        </xdr:cNvCxnSpPr>
      </xdr:nvCxnSpPr>
      <xdr:spPr>
        <a:xfrm>
          <a:off x="9820275" y="5033963"/>
          <a:ext cx="581025" cy="801687"/>
        </a:xfrm>
        <a:prstGeom prst="bentConnector3">
          <a:avLst>
            <a:gd name="adj1" fmla="val 50000"/>
          </a:avLst>
        </a:prstGeom>
        <a:ln w="38100">
          <a:solidFill>
            <a:schemeClr val="tx1">
              <a:lumMod val="95000"/>
              <a:lumOff val="5000"/>
            </a:schemeClr>
          </a:solidFill>
          <a:headEnd type="diamond" w="lg" len="lg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emf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6.emf"/><Relationship Id="rId34" Type="http://schemas.openxmlformats.org/officeDocument/2006/relationships/control" Target="../activeX/activeX18.xml"/><Relationship Id="rId7" Type="http://schemas.openxmlformats.org/officeDocument/2006/relationships/image" Target="../media/image9.emf"/><Relationship Id="rId12" Type="http://schemas.openxmlformats.org/officeDocument/2006/relationships/control" Target="../activeX/activeX7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33" Type="http://schemas.openxmlformats.org/officeDocument/2006/relationships/image" Target="../media/image2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image" Target="../media/image11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7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15.xml"/><Relationship Id="rId10" Type="http://schemas.openxmlformats.org/officeDocument/2006/relationships/control" Target="../activeX/activeX6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3.xml"/><Relationship Id="rId9" Type="http://schemas.openxmlformats.org/officeDocument/2006/relationships/image" Target="../media/image10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Relationship Id="rId27" Type="http://schemas.openxmlformats.org/officeDocument/2006/relationships/image" Target="../media/image19.emf"/><Relationship Id="rId30" Type="http://schemas.openxmlformats.org/officeDocument/2006/relationships/control" Target="../activeX/activeX16.xml"/><Relationship Id="rId35" Type="http://schemas.openxmlformats.org/officeDocument/2006/relationships/image" Target="../media/image23.emf"/><Relationship Id="rId8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control" Target="../activeX/activeX24.xml"/><Relationship Id="rId18" Type="http://schemas.openxmlformats.org/officeDocument/2006/relationships/image" Target="../media/image33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12" Type="http://schemas.openxmlformats.org/officeDocument/2006/relationships/image" Target="../media/image30.emf"/><Relationship Id="rId17" Type="http://schemas.openxmlformats.org/officeDocument/2006/relationships/control" Target="../activeX/activeX26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32.emf"/><Relationship Id="rId1" Type="http://schemas.openxmlformats.org/officeDocument/2006/relationships/drawing" Target="../drawings/drawing4.xml"/><Relationship Id="rId6" Type="http://schemas.openxmlformats.org/officeDocument/2006/relationships/image" Target="../media/image27.emf"/><Relationship Id="rId11" Type="http://schemas.openxmlformats.org/officeDocument/2006/relationships/control" Target="../activeX/activeX23.xml"/><Relationship Id="rId5" Type="http://schemas.openxmlformats.org/officeDocument/2006/relationships/control" Target="../activeX/activeX20.xml"/><Relationship Id="rId15" Type="http://schemas.openxmlformats.org/officeDocument/2006/relationships/control" Target="../activeX/activeX25.xml"/><Relationship Id="rId10" Type="http://schemas.openxmlformats.org/officeDocument/2006/relationships/image" Target="../media/image29.emf"/><Relationship Id="rId4" Type="http://schemas.openxmlformats.org/officeDocument/2006/relationships/image" Target="../media/image26.emf"/><Relationship Id="rId9" Type="http://schemas.openxmlformats.org/officeDocument/2006/relationships/control" Target="../activeX/activeX22.xml"/><Relationship Id="rId14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J2:U37"/>
  <sheetViews>
    <sheetView showGridLines="0" showRowColHeaders="0" zoomScale="70" zoomScaleNormal="70" workbookViewId="0">
      <selection activeCell="U6" sqref="U6"/>
    </sheetView>
  </sheetViews>
  <sheetFormatPr defaultRowHeight="15" x14ac:dyDescent="0.25"/>
  <cols>
    <col min="10" max="10" width="15.28515625" bestFit="1" customWidth="1"/>
    <col min="11" max="11" width="21.7109375" bestFit="1" customWidth="1"/>
    <col min="16" max="16" width="9.140625" customWidth="1"/>
    <col min="18" max="18" width="18.5703125" bestFit="1" customWidth="1"/>
    <col min="19" max="19" width="14" customWidth="1"/>
    <col min="20" max="20" width="17.42578125" bestFit="1" customWidth="1"/>
    <col min="21" max="21" width="14" customWidth="1"/>
  </cols>
  <sheetData>
    <row r="2" spans="10:21" ht="15" customHeight="1" x14ac:dyDescent="0.25">
      <c r="J2" s="71"/>
      <c r="K2" s="71"/>
    </row>
    <row r="3" spans="10:21" ht="15.75" thickBot="1" x14ac:dyDescent="0.3">
      <c r="J3" s="73"/>
      <c r="K3" s="73"/>
    </row>
    <row r="4" spans="10:21" ht="15.75" thickBot="1" x14ac:dyDescent="0.3">
      <c r="J4" s="1" t="s">
        <v>41</v>
      </c>
      <c r="K4" s="72">
        <v>4</v>
      </c>
    </row>
    <row r="5" spans="10:21" ht="15.75" thickBot="1" x14ac:dyDescent="0.3">
      <c r="J5" s="22" t="s">
        <v>42</v>
      </c>
      <c r="K5" s="36">
        <v>4</v>
      </c>
    </row>
    <row r="8" spans="10:21" ht="15.75" thickBot="1" x14ac:dyDescent="0.3">
      <c r="J8" s="80" t="s">
        <v>4</v>
      </c>
      <c r="K8" s="81"/>
      <c r="L8" s="81"/>
      <c r="M8" s="81"/>
      <c r="N8" s="81"/>
      <c r="O8" s="81"/>
      <c r="P8" s="81"/>
      <c r="R8" s="80" t="s">
        <v>10</v>
      </c>
      <c r="S8" s="81"/>
      <c r="T8" s="81"/>
      <c r="U8" s="81"/>
    </row>
    <row r="9" spans="10:21" ht="24" thickBot="1" x14ac:dyDescent="0.65">
      <c r="J9" s="87" t="s">
        <v>13</v>
      </c>
      <c r="K9" s="88"/>
      <c r="L9" s="89" t="s">
        <v>12</v>
      </c>
      <c r="M9" s="90"/>
      <c r="N9" s="90"/>
      <c r="O9" s="90"/>
      <c r="P9" s="91"/>
      <c r="R9" s="16" t="s">
        <v>24</v>
      </c>
      <c r="S9" s="77" t="s">
        <v>28</v>
      </c>
      <c r="T9" s="78"/>
      <c r="U9" s="79"/>
    </row>
    <row r="10" spans="10:21" ht="18.75" thickBot="1" x14ac:dyDescent="0.4">
      <c r="J10" s="1" t="s">
        <v>11</v>
      </c>
      <c r="K10" s="1" t="s">
        <v>1</v>
      </c>
      <c r="L10" s="2">
        <v>1</v>
      </c>
      <c r="M10" s="1">
        <v>2</v>
      </c>
      <c r="N10" s="1">
        <v>3</v>
      </c>
      <c r="O10" s="1">
        <v>4</v>
      </c>
      <c r="P10" s="1">
        <v>5</v>
      </c>
      <c r="R10" s="22" t="s">
        <v>27</v>
      </c>
      <c r="S10" s="22">
        <v>1</v>
      </c>
      <c r="T10" s="22">
        <v>2</v>
      </c>
      <c r="U10" s="22">
        <v>3</v>
      </c>
    </row>
    <row r="11" spans="10:21" ht="15.75" thickBot="1" x14ac:dyDescent="0.3">
      <c r="J11" s="92">
        <v>1</v>
      </c>
      <c r="K11" s="3">
        <v>1</v>
      </c>
      <c r="L11" s="4">
        <v>5</v>
      </c>
      <c r="M11" s="5">
        <v>6</v>
      </c>
      <c r="N11" s="5">
        <v>5</v>
      </c>
      <c r="O11" s="5">
        <v>7</v>
      </c>
      <c r="P11" s="6">
        <v>4</v>
      </c>
      <c r="R11" s="22">
        <v>1</v>
      </c>
      <c r="S11" s="23">
        <v>1200</v>
      </c>
      <c r="T11" s="24">
        <v>650</v>
      </c>
      <c r="U11" s="25">
        <v>1750</v>
      </c>
    </row>
    <row r="12" spans="10:21" ht="15.75" thickBot="1" x14ac:dyDescent="0.3">
      <c r="J12" s="93"/>
      <c r="K12" s="7">
        <v>2</v>
      </c>
      <c r="L12" s="8">
        <v>4</v>
      </c>
      <c r="M12" s="9">
        <v>6</v>
      </c>
      <c r="N12" s="9">
        <v>3</v>
      </c>
      <c r="O12" s="9">
        <v>6</v>
      </c>
      <c r="P12" s="10">
        <v>5</v>
      </c>
      <c r="R12" s="22">
        <v>2</v>
      </c>
      <c r="S12" s="26">
        <v>1350</v>
      </c>
      <c r="T12" s="27">
        <v>730</v>
      </c>
      <c r="U12" s="28">
        <v>2350</v>
      </c>
    </row>
    <row r="13" spans="10:21" ht="15.75" thickBot="1" x14ac:dyDescent="0.3">
      <c r="J13" s="94"/>
      <c r="K13" s="11">
        <v>3</v>
      </c>
      <c r="L13" s="8">
        <v>5</v>
      </c>
      <c r="M13" s="9">
        <v>7</v>
      </c>
      <c r="N13" s="9">
        <v>4</v>
      </c>
      <c r="O13" s="9">
        <v>7</v>
      </c>
      <c r="P13" s="10">
        <v>7</v>
      </c>
      <c r="R13" s="22">
        <v>3</v>
      </c>
      <c r="S13" s="29">
        <v>880</v>
      </c>
      <c r="T13" s="30">
        <v>490</v>
      </c>
      <c r="U13" s="31">
        <v>1175</v>
      </c>
    </row>
    <row r="14" spans="10:21" x14ac:dyDescent="0.25">
      <c r="J14" s="92">
        <v>2</v>
      </c>
      <c r="K14" s="3">
        <v>1</v>
      </c>
      <c r="L14" s="8">
        <v>3</v>
      </c>
      <c r="M14" s="9">
        <v>5</v>
      </c>
      <c r="N14" s="9">
        <v>6</v>
      </c>
      <c r="O14" s="9">
        <v>8</v>
      </c>
      <c r="P14" s="10">
        <v>5</v>
      </c>
    </row>
    <row r="15" spans="10:21" ht="15.75" thickBot="1" x14ac:dyDescent="0.3">
      <c r="J15" s="93"/>
      <c r="K15" s="7">
        <v>2</v>
      </c>
      <c r="L15" s="8">
        <v>6</v>
      </c>
      <c r="M15" s="9">
        <v>7</v>
      </c>
      <c r="N15" s="9">
        <v>5</v>
      </c>
      <c r="O15" s="9">
        <v>6</v>
      </c>
      <c r="P15" s="10">
        <v>8</v>
      </c>
      <c r="R15" s="80" t="s">
        <v>6</v>
      </c>
      <c r="S15" s="81"/>
      <c r="T15" s="81"/>
    </row>
    <row r="16" spans="10:21" ht="18.75" customHeight="1" thickBot="1" x14ac:dyDescent="0.3">
      <c r="J16" s="94"/>
      <c r="K16" s="11">
        <v>3</v>
      </c>
      <c r="L16" s="8">
        <v>5</v>
      </c>
      <c r="M16" s="9">
        <v>4</v>
      </c>
      <c r="N16" s="9">
        <v>5</v>
      </c>
      <c r="O16" s="9">
        <v>4</v>
      </c>
      <c r="P16" s="10">
        <v>5</v>
      </c>
      <c r="R16" s="1" t="s">
        <v>12</v>
      </c>
      <c r="S16" s="1" t="s">
        <v>25</v>
      </c>
      <c r="T16" s="1" t="s">
        <v>31</v>
      </c>
    </row>
    <row r="17" spans="10:21" ht="15.75" thickBot="1" x14ac:dyDescent="0.3">
      <c r="J17" s="95">
        <v>3</v>
      </c>
      <c r="K17" s="12">
        <v>1</v>
      </c>
      <c r="L17" s="8">
        <v>8</v>
      </c>
      <c r="M17" s="9">
        <v>6</v>
      </c>
      <c r="N17" s="9">
        <v>3</v>
      </c>
      <c r="O17" s="9">
        <v>5</v>
      </c>
      <c r="P17" s="10">
        <v>7</v>
      </c>
      <c r="R17" s="18">
        <v>1</v>
      </c>
      <c r="S17" s="4">
        <v>400</v>
      </c>
      <c r="T17" s="6">
        <v>1800</v>
      </c>
    </row>
    <row r="18" spans="10:21" ht="15.75" thickBot="1" x14ac:dyDescent="0.3">
      <c r="J18" s="96"/>
      <c r="K18" s="7">
        <v>2</v>
      </c>
      <c r="L18" s="8">
        <v>7</v>
      </c>
      <c r="M18" s="9">
        <v>5</v>
      </c>
      <c r="N18" s="9">
        <v>3</v>
      </c>
      <c r="O18" s="9">
        <v>7</v>
      </c>
      <c r="P18" s="10">
        <v>4</v>
      </c>
      <c r="R18" s="18">
        <v>2</v>
      </c>
      <c r="S18" s="8">
        <v>550</v>
      </c>
      <c r="T18" s="10">
        <v>900</v>
      </c>
    </row>
    <row r="19" spans="10:21" ht="15.75" thickBot="1" x14ac:dyDescent="0.3">
      <c r="J19" s="97"/>
      <c r="K19" s="11">
        <v>3</v>
      </c>
      <c r="L19" s="13">
        <v>4</v>
      </c>
      <c r="M19" s="14">
        <v>6</v>
      </c>
      <c r="N19" s="14">
        <v>3</v>
      </c>
      <c r="O19" s="14">
        <v>4</v>
      </c>
      <c r="P19" s="15">
        <v>6</v>
      </c>
      <c r="R19" s="18">
        <v>3</v>
      </c>
      <c r="S19" s="8">
        <v>490</v>
      </c>
      <c r="T19" s="10">
        <v>2100</v>
      </c>
    </row>
    <row r="20" spans="10:21" ht="15.75" thickBot="1" x14ac:dyDescent="0.3">
      <c r="R20" s="18">
        <v>4</v>
      </c>
      <c r="S20" s="8">
        <v>300</v>
      </c>
      <c r="T20" s="10">
        <v>1100</v>
      </c>
    </row>
    <row r="21" spans="10:21" ht="15.75" thickBot="1" x14ac:dyDescent="0.3">
      <c r="K21" s="82" t="s">
        <v>5</v>
      </c>
      <c r="L21" s="83"/>
      <c r="M21" s="83"/>
      <c r="N21" s="83"/>
      <c r="O21" s="83"/>
      <c r="P21" s="83"/>
      <c r="R21" s="18">
        <v>5</v>
      </c>
      <c r="S21" s="13">
        <v>500</v>
      </c>
      <c r="T21" s="15">
        <v>900</v>
      </c>
    </row>
    <row r="22" spans="10:21" ht="24" thickBot="1" x14ac:dyDescent="0.65">
      <c r="K22" s="16" t="s">
        <v>14</v>
      </c>
      <c r="L22" s="98" t="s">
        <v>15</v>
      </c>
      <c r="M22" s="99"/>
      <c r="N22" s="99"/>
      <c r="O22" s="99"/>
      <c r="P22" s="100"/>
    </row>
    <row r="23" spans="10:21" ht="18.75" thickBot="1" x14ac:dyDescent="0.4">
      <c r="K23" s="17" t="s">
        <v>12</v>
      </c>
      <c r="L23" s="1">
        <v>1</v>
      </c>
      <c r="M23" s="1">
        <v>2</v>
      </c>
      <c r="N23" s="1">
        <v>3</v>
      </c>
      <c r="O23" s="1">
        <v>4</v>
      </c>
      <c r="P23" s="1">
        <v>5</v>
      </c>
      <c r="R23" s="76" t="s">
        <v>8</v>
      </c>
      <c r="S23" s="76"/>
      <c r="T23" s="76"/>
      <c r="U23" s="76"/>
    </row>
    <row r="24" spans="10:21" ht="24" thickBot="1" x14ac:dyDescent="0.3">
      <c r="K24" s="18">
        <v>1</v>
      </c>
      <c r="L24" s="4">
        <v>5</v>
      </c>
      <c r="M24" s="5">
        <v>8</v>
      </c>
      <c r="N24" s="5">
        <v>5</v>
      </c>
      <c r="O24" s="5">
        <v>8</v>
      </c>
      <c r="P24" s="6">
        <v>5</v>
      </c>
      <c r="R24" s="1" t="s">
        <v>23</v>
      </c>
      <c r="S24" s="1" t="s">
        <v>26</v>
      </c>
      <c r="T24" s="1" t="s">
        <v>32</v>
      </c>
    </row>
    <row r="25" spans="10:21" ht="15.75" thickBot="1" x14ac:dyDescent="0.3">
      <c r="K25" s="18">
        <v>2</v>
      </c>
      <c r="L25" s="8">
        <v>8</v>
      </c>
      <c r="M25" s="9">
        <v>7</v>
      </c>
      <c r="N25" s="9">
        <v>8</v>
      </c>
      <c r="O25" s="9">
        <v>6</v>
      </c>
      <c r="P25" s="10">
        <v>8</v>
      </c>
      <c r="R25" s="18">
        <v>1</v>
      </c>
      <c r="S25" s="4">
        <v>530</v>
      </c>
      <c r="T25" s="6">
        <v>1000</v>
      </c>
    </row>
    <row r="26" spans="10:21" ht="15.75" thickBot="1" x14ac:dyDescent="0.3">
      <c r="K26" s="18">
        <v>3</v>
      </c>
      <c r="L26" s="8">
        <v>4</v>
      </c>
      <c r="M26" s="9">
        <v>7</v>
      </c>
      <c r="N26" s="9">
        <v>4</v>
      </c>
      <c r="O26" s="9">
        <v>5</v>
      </c>
      <c r="P26" s="10">
        <v>4</v>
      </c>
      <c r="R26" s="18">
        <v>2</v>
      </c>
      <c r="S26" s="8">
        <v>590</v>
      </c>
      <c r="T26" s="10">
        <v>900</v>
      </c>
    </row>
    <row r="27" spans="10:21" ht="15.75" thickBot="1" x14ac:dyDescent="0.3">
      <c r="K27" s="18">
        <v>4</v>
      </c>
      <c r="L27" s="8">
        <v>3</v>
      </c>
      <c r="M27" s="9">
        <v>5</v>
      </c>
      <c r="N27" s="9">
        <v>3</v>
      </c>
      <c r="O27" s="9">
        <v>5</v>
      </c>
      <c r="P27" s="10">
        <v>3</v>
      </c>
      <c r="R27" s="18">
        <v>3</v>
      </c>
      <c r="S27" s="8">
        <v>400</v>
      </c>
      <c r="T27" s="10">
        <v>1600</v>
      </c>
    </row>
    <row r="28" spans="10:21" ht="15.75" thickBot="1" x14ac:dyDescent="0.3">
      <c r="K28" s="18">
        <v>5</v>
      </c>
      <c r="L28" s="13">
        <v>5</v>
      </c>
      <c r="M28" s="14">
        <v>6</v>
      </c>
      <c r="N28" s="14">
        <v>6</v>
      </c>
      <c r="O28" s="14">
        <v>8</v>
      </c>
      <c r="P28" s="15">
        <v>3</v>
      </c>
      <c r="R28" s="18">
        <v>4</v>
      </c>
      <c r="S28" s="8">
        <v>370</v>
      </c>
      <c r="T28" s="10">
        <v>1500</v>
      </c>
    </row>
    <row r="29" spans="10:21" ht="15.75" thickBot="1" x14ac:dyDescent="0.3">
      <c r="R29" s="18">
        <v>5</v>
      </c>
      <c r="S29" s="13">
        <v>580</v>
      </c>
      <c r="T29" s="15">
        <v>1400</v>
      </c>
    </row>
    <row r="30" spans="10:21" ht="15.75" customHeight="1" thickBot="1" x14ac:dyDescent="0.3">
      <c r="K30" s="86" t="s">
        <v>7</v>
      </c>
      <c r="L30" s="86"/>
      <c r="M30" s="86"/>
      <c r="N30" s="86"/>
      <c r="O30" s="86"/>
      <c r="P30" s="86"/>
    </row>
    <row r="31" spans="10:21" ht="24" thickBot="1" x14ac:dyDescent="0.65">
      <c r="K31" s="16" t="s">
        <v>16</v>
      </c>
      <c r="L31" s="77" t="s">
        <v>17</v>
      </c>
      <c r="M31" s="78"/>
      <c r="N31" s="78"/>
      <c r="O31" s="79"/>
      <c r="R31" s="84" t="s">
        <v>9</v>
      </c>
      <c r="S31" s="85"/>
    </row>
    <row r="32" spans="10:21" ht="24" thickBot="1" x14ac:dyDescent="0.65">
      <c r="K32" s="17" t="s">
        <v>15</v>
      </c>
      <c r="L32" s="1">
        <v>1</v>
      </c>
      <c r="M32" s="1">
        <v>2</v>
      </c>
      <c r="N32" s="1">
        <v>3</v>
      </c>
      <c r="O32" s="1">
        <v>4</v>
      </c>
      <c r="R32" s="32" t="s">
        <v>30</v>
      </c>
      <c r="S32" s="33" t="s">
        <v>29</v>
      </c>
    </row>
    <row r="33" spans="11:19" ht="15.75" thickBot="1" x14ac:dyDescent="0.3">
      <c r="K33" s="18">
        <v>1</v>
      </c>
      <c r="L33" s="19">
        <v>7</v>
      </c>
      <c r="M33" s="5">
        <v>4</v>
      </c>
      <c r="N33" s="5">
        <v>5</v>
      </c>
      <c r="O33" s="6">
        <v>6</v>
      </c>
      <c r="R33" s="18">
        <v>1</v>
      </c>
      <c r="S33" s="34">
        <v>460</v>
      </c>
    </row>
    <row r="34" spans="11:19" ht="15.75" thickBot="1" x14ac:dyDescent="0.3">
      <c r="K34" s="18">
        <v>2</v>
      </c>
      <c r="L34" s="20">
        <v>5</v>
      </c>
      <c r="M34" s="9">
        <v>4</v>
      </c>
      <c r="N34" s="9">
        <v>6</v>
      </c>
      <c r="O34" s="10">
        <v>7</v>
      </c>
      <c r="R34" s="18">
        <v>2</v>
      </c>
      <c r="S34" s="35">
        <v>330</v>
      </c>
    </row>
    <row r="35" spans="11:19" ht="15.75" thickBot="1" x14ac:dyDescent="0.3">
      <c r="K35" s="18">
        <v>3</v>
      </c>
      <c r="L35" s="20">
        <v>7</v>
      </c>
      <c r="M35" s="9">
        <v>5</v>
      </c>
      <c r="N35" s="9">
        <v>3</v>
      </c>
      <c r="O35" s="10">
        <v>6</v>
      </c>
      <c r="R35" s="18">
        <v>3</v>
      </c>
      <c r="S35" s="35">
        <v>450</v>
      </c>
    </row>
    <row r="36" spans="11:19" ht="15.75" thickBot="1" x14ac:dyDescent="0.3">
      <c r="K36" s="18">
        <v>4</v>
      </c>
      <c r="L36" s="20">
        <v>3</v>
      </c>
      <c r="M36" s="9">
        <v>5</v>
      </c>
      <c r="N36" s="9">
        <v>6</v>
      </c>
      <c r="O36" s="10">
        <v>4</v>
      </c>
      <c r="R36" s="18">
        <v>4</v>
      </c>
      <c r="S36" s="36">
        <v>200</v>
      </c>
    </row>
    <row r="37" spans="11:19" ht="15.75" thickBot="1" x14ac:dyDescent="0.3">
      <c r="K37" s="18">
        <v>5</v>
      </c>
      <c r="L37" s="21">
        <v>4</v>
      </c>
      <c r="M37" s="14">
        <v>6</v>
      </c>
      <c r="N37" s="14">
        <v>5</v>
      </c>
      <c r="O37" s="15">
        <v>7</v>
      </c>
    </row>
  </sheetData>
  <sheetProtection selectLockedCells="1" selectUnlockedCells="1"/>
  <mergeCells count="15">
    <mergeCell ref="R23:U23"/>
    <mergeCell ref="L31:O31"/>
    <mergeCell ref="S9:U9"/>
    <mergeCell ref="J8:P8"/>
    <mergeCell ref="R8:U8"/>
    <mergeCell ref="K21:P21"/>
    <mergeCell ref="R15:T15"/>
    <mergeCell ref="R31:S31"/>
    <mergeCell ref="K30:P30"/>
    <mergeCell ref="J9:K9"/>
    <mergeCell ref="L9:P9"/>
    <mergeCell ref="J11:J13"/>
    <mergeCell ref="J14:J16"/>
    <mergeCell ref="J17:J19"/>
    <mergeCell ref="L22:P2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oggleButton1">
          <controlPr defaultSize="0" autoLine="0" r:id="rId4">
            <anchor moveWithCells="1">
              <from>
                <xdr:col>19</xdr:col>
                <xdr:colOff>752475</xdr:colOff>
                <xdr:row>1</xdr:row>
                <xdr:rowOff>161925</xdr:rowOff>
              </from>
              <to>
                <xdr:col>20</xdr:col>
                <xdr:colOff>885825</xdr:colOff>
                <xdr:row>4</xdr:row>
                <xdr:rowOff>76200</xdr:rowOff>
              </to>
            </anchor>
          </controlPr>
        </control>
      </mc:Choice>
      <mc:Fallback>
        <control shapeId="1026" r:id="rId3" name="Toggle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J1:X41"/>
  <sheetViews>
    <sheetView showGridLines="0" showRowColHeaders="0" zoomScale="70" zoomScaleNormal="70" workbookViewId="0">
      <selection activeCell="D46" sqref="D46"/>
    </sheetView>
  </sheetViews>
  <sheetFormatPr defaultRowHeight="15" x14ac:dyDescent="0.25"/>
  <cols>
    <col min="9" max="9" width="3.85546875" customWidth="1"/>
    <col min="10" max="10" width="14.42578125" bestFit="1" customWidth="1"/>
    <col min="11" max="11" width="21.7109375" bestFit="1" customWidth="1"/>
    <col min="12" max="12" width="9.140625" customWidth="1"/>
    <col min="18" max="18" width="13.28515625" bestFit="1" customWidth="1"/>
    <col min="19" max="19" width="12.7109375" bestFit="1" customWidth="1"/>
    <col min="21" max="21" width="18.5703125" bestFit="1" customWidth="1"/>
  </cols>
  <sheetData>
    <row r="1" spans="10:22" ht="15.75" thickBot="1" x14ac:dyDescent="0.3"/>
    <row r="2" spans="10:22" ht="24" thickBot="1" x14ac:dyDescent="0.65">
      <c r="J2" s="87" t="s">
        <v>3</v>
      </c>
      <c r="K2" s="88"/>
      <c r="L2" s="104" t="s">
        <v>12</v>
      </c>
      <c r="M2" s="105"/>
      <c r="N2" s="105"/>
      <c r="O2" s="105"/>
      <c r="P2" s="106"/>
      <c r="Q2" s="37"/>
      <c r="R2" s="37"/>
      <c r="S2" s="37"/>
    </row>
    <row r="3" spans="10:22" ht="19.5" thickBot="1" x14ac:dyDescent="0.3">
      <c r="J3" s="1" t="s">
        <v>0</v>
      </c>
      <c r="K3" s="1" t="s">
        <v>1</v>
      </c>
      <c r="L3" s="2">
        <v>1</v>
      </c>
      <c r="M3" s="1">
        <v>2</v>
      </c>
      <c r="N3" s="1">
        <v>3</v>
      </c>
      <c r="O3" s="1">
        <v>4</v>
      </c>
      <c r="P3" s="1">
        <v>5</v>
      </c>
      <c r="Q3" s="38"/>
      <c r="R3" s="38"/>
      <c r="S3" s="38" t="s">
        <v>33</v>
      </c>
    </row>
    <row r="4" spans="10:22" x14ac:dyDescent="0.25">
      <c r="J4" s="92">
        <v>1</v>
      </c>
      <c r="K4" s="3">
        <v>1</v>
      </c>
      <c r="L4" s="42">
        <v>0</v>
      </c>
      <c r="M4" s="43">
        <v>0</v>
      </c>
      <c r="N4" s="44">
        <v>100</v>
      </c>
      <c r="O4" s="44">
        <v>100</v>
      </c>
      <c r="P4" s="45">
        <v>1000</v>
      </c>
      <c r="Q4" s="39">
        <f>SUM(L4:P4)</f>
        <v>1200</v>
      </c>
      <c r="R4" s="38" t="s">
        <v>2</v>
      </c>
      <c r="S4" s="38">
        <f>a.11</f>
        <v>1200</v>
      </c>
    </row>
    <row r="5" spans="10:22" x14ac:dyDescent="0.25">
      <c r="J5" s="93"/>
      <c r="K5" s="7">
        <v>2</v>
      </c>
      <c r="L5" s="20">
        <v>150</v>
      </c>
      <c r="M5" s="9">
        <v>0</v>
      </c>
      <c r="N5" s="9">
        <v>490</v>
      </c>
      <c r="O5" s="9">
        <v>0</v>
      </c>
      <c r="P5" s="10">
        <v>10</v>
      </c>
      <c r="Q5" s="39">
        <f t="shared" ref="Q5:Q12" si="0">SUM(L5:P5)</f>
        <v>650</v>
      </c>
      <c r="R5" s="38" t="s">
        <v>2</v>
      </c>
      <c r="S5" s="38">
        <f>a.12</f>
        <v>650</v>
      </c>
    </row>
    <row r="6" spans="10:22" ht="15.75" thickBot="1" x14ac:dyDescent="0.3">
      <c r="J6" s="94"/>
      <c r="K6" s="11">
        <v>3</v>
      </c>
      <c r="L6" s="20">
        <v>0</v>
      </c>
      <c r="M6" s="9">
        <v>0</v>
      </c>
      <c r="N6" s="9">
        <v>1470</v>
      </c>
      <c r="O6" s="9">
        <v>0</v>
      </c>
      <c r="P6" s="10">
        <v>0</v>
      </c>
      <c r="Q6" s="39">
        <f t="shared" si="0"/>
        <v>1470</v>
      </c>
      <c r="R6" s="38" t="s">
        <v>2</v>
      </c>
      <c r="S6" s="38">
        <f>a.13</f>
        <v>1750</v>
      </c>
    </row>
    <row r="7" spans="10:22" x14ac:dyDescent="0.25">
      <c r="J7" s="92">
        <v>2</v>
      </c>
      <c r="K7" s="3">
        <v>1</v>
      </c>
      <c r="L7" s="46">
        <v>800</v>
      </c>
      <c r="M7" s="40">
        <v>0</v>
      </c>
      <c r="N7" s="9">
        <v>0</v>
      </c>
      <c r="O7" s="9">
        <v>0</v>
      </c>
      <c r="P7" s="10">
        <v>0</v>
      </c>
      <c r="Q7" s="39">
        <f t="shared" si="0"/>
        <v>800</v>
      </c>
      <c r="R7" s="38" t="s">
        <v>2</v>
      </c>
      <c r="S7" s="38">
        <f>a.21</f>
        <v>1350</v>
      </c>
    </row>
    <row r="8" spans="10:22" x14ac:dyDescent="0.25">
      <c r="J8" s="93"/>
      <c r="K8" s="7">
        <v>2</v>
      </c>
      <c r="L8" s="20">
        <v>250</v>
      </c>
      <c r="M8" s="9">
        <v>0</v>
      </c>
      <c r="N8" s="9">
        <v>0</v>
      </c>
      <c r="O8" s="9">
        <v>50</v>
      </c>
      <c r="P8" s="10">
        <v>0</v>
      </c>
      <c r="Q8" s="39">
        <f t="shared" si="0"/>
        <v>300</v>
      </c>
      <c r="R8" s="38" t="s">
        <v>2</v>
      </c>
      <c r="S8" s="38">
        <f>a.22</f>
        <v>730</v>
      </c>
    </row>
    <row r="9" spans="10:22" ht="15.75" thickBot="1" x14ac:dyDescent="0.3">
      <c r="J9" s="94"/>
      <c r="K9" s="11">
        <v>3</v>
      </c>
      <c r="L9" s="20">
        <v>25</v>
      </c>
      <c r="M9" s="9">
        <v>0</v>
      </c>
      <c r="N9" s="9">
        <v>0</v>
      </c>
      <c r="O9" s="9">
        <v>150</v>
      </c>
      <c r="P9" s="10">
        <v>1500</v>
      </c>
      <c r="Q9" s="39">
        <f t="shared" si="0"/>
        <v>1675</v>
      </c>
      <c r="R9" s="38" t="s">
        <v>2</v>
      </c>
      <c r="S9" s="38">
        <f>a.23</f>
        <v>2350</v>
      </c>
    </row>
    <row r="10" spans="10:22" x14ac:dyDescent="0.25">
      <c r="J10" s="95">
        <v>3</v>
      </c>
      <c r="K10" s="12">
        <v>1</v>
      </c>
      <c r="L10" s="46">
        <v>0</v>
      </c>
      <c r="M10" s="41">
        <v>0</v>
      </c>
      <c r="N10" s="9">
        <v>880</v>
      </c>
      <c r="O10" s="9">
        <v>0</v>
      </c>
      <c r="P10" s="10">
        <v>0</v>
      </c>
      <c r="Q10" s="39">
        <f t="shared" si="0"/>
        <v>880</v>
      </c>
      <c r="R10" s="38" t="s">
        <v>2</v>
      </c>
      <c r="S10" s="38">
        <f>a.31</f>
        <v>880</v>
      </c>
    </row>
    <row r="11" spans="10:22" x14ac:dyDescent="0.25">
      <c r="J11" s="96"/>
      <c r="K11" s="7">
        <v>2</v>
      </c>
      <c r="L11" s="20">
        <v>0</v>
      </c>
      <c r="M11" s="9">
        <v>0</v>
      </c>
      <c r="N11" s="9">
        <v>0</v>
      </c>
      <c r="O11" s="9">
        <v>0</v>
      </c>
      <c r="P11" s="10">
        <v>490</v>
      </c>
      <c r="Q11" s="39">
        <f t="shared" si="0"/>
        <v>490</v>
      </c>
      <c r="R11" s="38" t="s">
        <v>2</v>
      </c>
      <c r="S11" s="38">
        <f>a.32</f>
        <v>490</v>
      </c>
    </row>
    <row r="12" spans="10:22" ht="15.75" thickBot="1" x14ac:dyDescent="0.3">
      <c r="J12" s="97"/>
      <c r="K12" s="11">
        <v>3</v>
      </c>
      <c r="L12" s="21">
        <v>1175</v>
      </c>
      <c r="M12" s="14">
        <v>0</v>
      </c>
      <c r="N12" s="14">
        <v>0</v>
      </c>
      <c r="O12" s="14">
        <v>0</v>
      </c>
      <c r="P12" s="15">
        <v>0</v>
      </c>
      <c r="Q12" s="39">
        <f t="shared" si="0"/>
        <v>1175</v>
      </c>
      <c r="R12" s="38" t="s">
        <v>2</v>
      </c>
      <c r="S12" s="38">
        <f>a.33</f>
        <v>1175</v>
      </c>
    </row>
    <row r="14" spans="10:22" ht="15.75" thickBot="1" x14ac:dyDescent="0.3"/>
    <row r="15" spans="10:22" ht="24" thickBot="1" x14ac:dyDescent="0.65">
      <c r="K15" s="16" t="s">
        <v>18</v>
      </c>
      <c r="L15" s="98" t="s">
        <v>15</v>
      </c>
      <c r="M15" s="99"/>
      <c r="N15" s="99"/>
      <c r="O15" s="99"/>
      <c r="P15" s="100"/>
      <c r="Q15" s="37"/>
      <c r="R15" s="37"/>
      <c r="S15" s="37"/>
    </row>
    <row r="16" spans="10:22" ht="24" thickBot="1" x14ac:dyDescent="0.4">
      <c r="K16" s="17" t="s">
        <v>12</v>
      </c>
      <c r="L16" s="1">
        <v>1</v>
      </c>
      <c r="M16" s="1">
        <v>2</v>
      </c>
      <c r="N16" s="1">
        <v>3</v>
      </c>
      <c r="O16" s="1">
        <v>4</v>
      </c>
      <c r="P16" s="1">
        <v>5</v>
      </c>
      <c r="Q16" s="38"/>
      <c r="R16" s="38"/>
      <c r="S16" s="38" t="s">
        <v>34</v>
      </c>
      <c r="U16" s="22" t="s">
        <v>12</v>
      </c>
      <c r="V16" s="57" t="s">
        <v>21</v>
      </c>
    </row>
    <row r="17" spans="11:24" ht="15.75" thickBot="1" x14ac:dyDescent="0.3">
      <c r="K17" s="18">
        <v>1</v>
      </c>
      <c r="L17" s="48">
        <v>40</v>
      </c>
      <c r="M17" s="49">
        <v>0</v>
      </c>
      <c r="N17" s="49">
        <v>350</v>
      </c>
      <c r="O17" s="49">
        <v>0</v>
      </c>
      <c r="P17" s="50">
        <v>10</v>
      </c>
      <c r="Q17" s="39">
        <f>SUM(L17:P17)</f>
        <v>400</v>
      </c>
      <c r="R17" s="38" t="s">
        <v>2</v>
      </c>
      <c r="S17" s="38">
        <f>b.1</f>
        <v>400</v>
      </c>
      <c r="U17" s="18">
        <v>1</v>
      </c>
      <c r="V17" s="12">
        <v>1</v>
      </c>
    </row>
    <row r="18" spans="11:24" ht="15.75" thickBot="1" x14ac:dyDescent="0.3">
      <c r="K18" s="18">
        <v>2</v>
      </c>
      <c r="L18" s="51">
        <v>0</v>
      </c>
      <c r="M18" s="9">
        <v>0</v>
      </c>
      <c r="N18" s="9">
        <v>0</v>
      </c>
      <c r="O18" s="9">
        <v>0</v>
      </c>
      <c r="P18" s="10">
        <v>0</v>
      </c>
      <c r="Q18" s="39">
        <f t="shared" ref="Q18:Q21" si="1">SUM(L18:P18)</f>
        <v>0</v>
      </c>
      <c r="R18" s="38" t="s">
        <v>2</v>
      </c>
      <c r="S18" s="38">
        <f>b.2</f>
        <v>550</v>
      </c>
      <c r="U18" s="18">
        <v>2</v>
      </c>
      <c r="V18" s="7">
        <v>0</v>
      </c>
    </row>
    <row r="19" spans="11:24" ht="15.75" thickBot="1" x14ac:dyDescent="0.3">
      <c r="K19" s="18">
        <v>3</v>
      </c>
      <c r="L19" s="51">
        <v>490</v>
      </c>
      <c r="M19" s="9">
        <v>0</v>
      </c>
      <c r="N19" s="9">
        <v>0</v>
      </c>
      <c r="O19" s="9">
        <v>0</v>
      </c>
      <c r="P19" s="10">
        <v>0</v>
      </c>
      <c r="Q19" s="39">
        <f t="shared" si="1"/>
        <v>490</v>
      </c>
      <c r="R19" s="38" t="s">
        <v>2</v>
      </c>
      <c r="S19" s="38">
        <f>b.3</f>
        <v>490</v>
      </c>
      <c r="U19" s="18">
        <v>3</v>
      </c>
      <c r="V19" s="7">
        <v>1</v>
      </c>
    </row>
    <row r="20" spans="11:24" ht="15.75" thickBot="1" x14ac:dyDescent="0.3">
      <c r="K20" s="18">
        <v>4</v>
      </c>
      <c r="L20" s="51">
        <v>0</v>
      </c>
      <c r="M20" s="9">
        <v>0</v>
      </c>
      <c r="N20" s="9">
        <v>50</v>
      </c>
      <c r="O20" s="9">
        <v>0</v>
      </c>
      <c r="P20" s="10">
        <v>0</v>
      </c>
      <c r="Q20" s="39">
        <f t="shared" si="1"/>
        <v>50</v>
      </c>
      <c r="R20" s="38" t="s">
        <v>2</v>
      </c>
      <c r="S20" s="38">
        <f>b.4</f>
        <v>300</v>
      </c>
      <c r="U20" s="18">
        <v>4</v>
      </c>
      <c r="V20" s="7">
        <v>1</v>
      </c>
    </row>
    <row r="21" spans="11:24" ht="15.75" thickBot="1" x14ac:dyDescent="0.3">
      <c r="K21" s="18">
        <v>5</v>
      </c>
      <c r="L21" s="52">
        <v>0</v>
      </c>
      <c r="M21" s="14">
        <v>0</v>
      </c>
      <c r="N21" s="14">
        <v>0</v>
      </c>
      <c r="O21" s="14">
        <v>0</v>
      </c>
      <c r="P21" s="15">
        <v>500</v>
      </c>
      <c r="Q21" s="39">
        <f t="shared" si="1"/>
        <v>500</v>
      </c>
      <c r="R21" s="38" t="s">
        <v>2</v>
      </c>
      <c r="S21" s="38">
        <f>b.5</f>
        <v>500</v>
      </c>
      <c r="U21" s="18">
        <v>5</v>
      </c>
      <c r="V21" s="11">
        <v>1</v>
      </c>
    </row>
    <row r="22" spans="11:24" x14ac:dyDescent="0.25">
      <c r="U22" s="56"/>
      <c r="V22" s="38">
        <f>SUM(V17:V21)</f>
        <v>4</v>
      </c>
      <c r="W22" s="58" t="s">
        <v>2</v>
      </c>
      <c r="X22" s="47">
        <f>P.</f>
        <v>4</v>
      </c>
    </row>
    <row r="23" spans="11:24" ht="15.75" thickBot="1" x14ac:dyDescent="0.3">
      <c r="U23" s="55"/>
      <c r="V23" s="55"/>
    </row>
    <row r="24" spans="11:24" ht="24" thickBot="1" x14ac:dyDescent="0.65">
      <c r="K24" s="16" t="s">
        <v>20</v>
      </c>
      <c r="L24" s="77" t="s">
        <v>17</v>
      </c>
      <c r="M24" s="78"/>
      <c r="N24" s="78"/>
      <c r="O24" s="79"/>
      <c r="P24" s="53"/>
      <c r="Q24" s="53"/>
      <c r="R24" s="53"/>
      <c r="U24" s="22" t="s">
        <v>23</v>
      </c>
      <c r="V24" s="57" t="s">
        <v>22</v>
      </c>
    </row>
    <row r="25" spans="11:24" ht="18.75" thickBot="1" x14ac:dyDescent="0.4">
      <c r="K25" s="17" t="s">
        <v>15</v>
      </c>
      <c r="L25" s="1">
        <v>1</v>
      </c>
      <c r="M25" s="1">
        <v>2</v>
      </c>
      <c r="N25" s="1">
        <v>3</v>
      </c>
      <c r="O25" s="1">
        <v>4</v>
      </c>
      <c r="P25" s="38"/>
      <c r="Q25" s="38"/>
      <c r="R25" s="38" t="s">
        <v>35</v>
      </c>
      <c r="U25" s="18">
        <v>1</v>
      </c>
      <c r="V25" s="12">
        <v>1</v>
      </c>
    </row>
    <row r="26" spans="11:24" ht="15.75" thickBot="1" x14ac:dyDescent="0.3">
      <c r="K26" s="18">
        <v>1</v>
      </c>
      <c r="L26" s="54">
        <v>0</v>
      </c>
      <c r="M26" s="49">
        <v>330</v>
      </c>
      <c r="N26" s="49">
        <v>0</v>
      </c>
      <c r="O26" s="50">
        <v>200</v>
      </c>
      <c r="P26">
        <f>SUM(L26:O26)</f>
        <v>530</v>
      </c>
      <c r="Q26" s="38" t="s">
        <v>2</v>
      </c>
      <c r="R26" s="38">
        <f>c.1</f>
        <v>530</v>
      </c>
      <c r="U26" s="18">
        <v>2</v>
      </c>
      <c r="V26" s="7">
        <v>0</v>
      </c>
    </row>
    <row r="27" spans="11:24" ht="15.75" thickBot="1" x14ac:dyDescent="0.3">
      <c r="K27" s="18">
        <v>2</v>
      </c>
      <c r="L27" s="20">
        <v>0</v>
      </c>
      <c r="M27" s="9">
        <v>0</v>
      </c>
      <c r="N27" s="9">
        <v>0</v>
      </c>
      <c r="O27" s="10">
        <v>0</v>
      </c>
      <c r="P27">
        <f t="shared" ref="P27:P30" si="2">SUM(L27:O27)</f>
        <v>0</v>
      </c>
      <c r="Q27" s="38" t="s">
        <v>2</v>
      </c>
      <c r="R27" s="38">
        <f>c.2</f>
        <v>590</v>
      </c>
      <c r="U27" s="18">
        <v>3</v>
      </c>
      <c r="V27" s="7">
        <v>1</v>
      </c>
    </row>
    <row r="28" spans="11:24" ht="15.75" thickBot="1" x14ac:dyDescent="0.3">
      <c r="K28" s="18">
        <v>3</v>
      </c>
      <c r="L28" s="20">
        <v>0</v>
      </c>
      <c r="M28" s="9">
        <v>0</v>
      </c>
      <c r="N28" s="9">
        <v>400</v>
      </c>
      <c r="O28" s="10">
        <v>0</v>
      </c>
      <c r="P28">
        <f t="shared" si="2"/>
        <v>400</v>
      </c>
      <c r="Q28" s="38" t="s">
        <v>2</v>
      </c>
      <c r="R28" s="38">
        <f>c.3</f>
        <v>400</v>
      </c>
      <c r="U28" s="18">
        <v>4</v>
      </c>
      <c r="V28" s="7">
        <v>0</v>
      </c>
    </row>
    <row r="29" spans="11:24" ht="15.75" thickBot="1" x14ac:dyDescent="0.3">
      <c r="K29" s="18">
        <v>4</v>
      </c>
      <c r="L29" s="20">
        <v>0</v>
      </c>
      <c r="M29" s="9">
        <v>0</v>
      </c>
      <c r="N29" s="9">
        <v>0</v>
      </c>
      <c r="O29" s="10">
        <v>0</v>
      </c>
      <c r="P29">
        <f t="shared" si="2"/>
        <v>0</v>
      </c>
      <c r="Q29" s="38" t="s">
        <v>2</v>
      </c>
      <c r="R29" s="38">
        <f>c.4</f>
        <v>370</v>
      </c>
      <c r="U29" s="18">
        <v>5</v>
      </c>
      <c r="V29" s="11">
        <v>1</v>
      </c>
    </row>
    <row r="30" spans="11:24" ht="15.75" thickBot="1" x14ac:dyDescent="0.3">
      <c r="K30" s="18">
        <v>5</v>
      </c>
      <c r="L30" s="21">
        <v>460</v>
      </c>
      <c r="M30" s="14">
        <v>0</v>
      </c>
      <c r="N30" s="14">
        <v>50</v>
      </c>
      <c r="O30" s="15">
        <v>0</v>
      </c>
      <c r="P30">
        <f t="shared" si="2"/>
        <v>510</v>
      </c>
      <c r="Q30" s="38" t="s">
        <v>2</v>
      </c>
      <c r="R30" s="38">
        <f>c.5</f>
        <v>580</v>
      </c>
      <c r="U30" s="56"/>
      <c r="V30">
        <f>SUM(V25:V29)</f>
        <v>3</v>
      </c>
      <c r="W30" s="58" t="s">
        <v>2</v>
      </c>
      <c r="X30" s="47">
        <f>D.</f>
        <v>4</v>
      </c>
    </row>
    <row r="31" spans="11:24" x14ac:dyDescent="0.25">
      <c r="K31" s="55"/>
      <c r="L31" s="37">
        <f>SUM(L26:L30)</f>
        <v>460</v>
      </c>
      <c r="M31" s="37">
        <f t="shared" ref="M31:O31" si="3">SUM(M26:M30)</f>
        <v>330</v>
      </c>
      <c r="N31" s="37">
        <f t="shared" si="3"/>
        <v>450</v>
      </c>
      <c r="O31" s="37">
        <f t="shared" si="3"/>
        <v>200</v>
      </c>
      <c r="P31" s="55"/>
      <c r="Q31" s="55"/>
      <c r="R31" s="55"/>
    </row>
    <row r="32" spans="11:24" x14ac:dyDescent="0.25">
      <c r="L32" s="47" t="s">
        <v>19</v>
      </c>
      <c r="M32" s="47" t="s">
        <v>19</v>
      </c>
      <c r="N32" s="47" t="s">
        <v>19</v>
      </c>
      <c r="O32" s="47" t="s">
        <v>19</v>
      </c>
    </row>
    <row r="33" spans="11:22" ht="18" x14ac:dyDescent="0.35">
      <c r="K33" t="s">
        <v>36</v>
      </c>
      <c r="L33" s="56">
        <f>d.1</f>
        <v>460</v>
      </c>
      <c r="M33" s="56">
        <f>d.2</f>
        <v>330</v>
      </c>
      <c r="N33" s="56">
        <f>d.3</f>
        <v>450</v>
      </c>
      <c r="O33" s="56">
        <f>d.4</f>
        <v>200</v>
      </c>
      <c r="U33" s="70" t="s">
        <v>40</v>
      </c>
      <c r="V33">
        <f>SUMPRODUCT(Cijt*Xijt)+SUMPRODUCT(Cjk*Yjk)+SUMPRODUCT(Ckl*Zkl)+SUMPRODUCT(Qj*Fİj)+SUMPRODUCT(Sk*DELTAk)</f>
        <v>56245</v>
      </c>
    </row>
    <row r="34" spans="11:22" ht="15.75" thickBot="1" x14ac:dyDescent="0.3"/>
    <row r="35" spans="11:22" ht="15" customHeight="1" x14ac:dyDescent="0.25">
      <c r="K35" s="107" t="s">
        <v>39</v>
      </c>
    </row>
    <row r="36" spans="11:22" ht="15.75" customHeight="1" thickBot="1" x14ac:dyDescent="0.3">
      <c r="K36" s="108"/>
    </row>
    <row r="37" spans="11:22" ht="15.75" thickBot="1" x14ac:dyDescent="0.3">
      <c r="K37" s="109"/>
      <c r="L37" s="60">
        <f>Y.11+Y.21+Y.31+Y.41+Y.51-Z11tZ12tZ13tZ14</f>
        <v>0</v>
      </c>
      <c r="M37" s="60">
        <f>Y.12+Y.22+Y.32+Y.42+Y.52-Z21tZ22tZ23tZ24</f>
        <v>0</v>
      </c>
      <c r="N37" s="60">
        <f>Y.13+Y.23+Y.33+Y.43+Y.53-Z31tZ32tZ33tZ34</f>
        <v>0</v>
      </c>
      <c r="O37" s="60">
        <f>Y.14+Y.24+Y.34+Y.44+Y.54-Z41tZ42tZ43tZ44</f>
        <v>0</v>
      </c>
      <c r="P37" s="61">
        <f>Y.15+Y.25+Y.35+Y.45+Y.55-Z51tZ52tZ53tZ54</f>
        <v>0</v>
      </c>
      <c r="Q37" s="38" t="s">
        <v>37</v>
      </c>
      <c r="R37" s="58">
        <v>0</v>
      </c>
    </row>
    <row r="38" spans="11:22" ht="15.75" thickBot="1" x14ac:dyDescent="0.3"/>
    <row r="39" spans="11:22" x14ac:dyDescent="0.25">
      <c r="K39" s="101" t="s">
        <v>38</v>
      </c>
      <c r="L39" s="62">
        <f>X.111+X.211+X.311-2*Y11tY12tY13tY14tY15</f>
        <v>0</v>
      </c>
      <c r="M39" s="63">
        <f>X.121+X.221+X.321-2*Y21tY22tY23tY24tY25</f>
        <v>0</v>
      </c>
      <c r="N39" s="63">
        <f>X.131+X.231+X.331-2*Y31tY32tY33tY34tY35</f>
        <v>0</v>
      </c>
      <c r="O39" s="63">
        <f>X.141+X.241+X.341-2*Y41tY42tY43tY44tY45</f>
        <v>0</v>
      </c>
      <c r="P39" s="64">
        <f>X.151+X.251+X.351-2*Y51tY52tY53tY54tY55</f>
        <v>0</v>
      </c>
      <c r="Q39" s="38" t="s">
        <v>37</v>
      </c>
      <c r="R39" s="37">
        <v>0</v>
      </c>
    </row>
    <row r="40" spans="11:22" x14ac:dyDescent="0.25">
      <c r="K40" s="102"/>
      <c r="L40" s="65">
        <f>X.112+X.212+X.312-1*Y11tY12tY13tY14tY15</f>
        <v>0</v>
      </c>
      <c r="M40" s="59">
        <f>X.122+X.222+X.322-1*Y21tY22tY23tY24tY25</f>
        <v>0</v>
      </c>
      <c r="N40" s="59">
        <f>X.132+X.232+X.332-1*Y31tY32tY33tY34tY35</f>
        <v>0</v>
      </c>
      <c r="O40" s="59">
        <f>X.142+X.242+X.342-1*Y41tY42tY43tY44tY45</f>
        <v>0</v>
      </c>
      <c r="P40" s="66">
        <f>X.152+X.252+X.352-1*Y51tY52tY53tY54tY55</f>
        <v>0</v>
      </c>
      <c r="Q40" s="38" t="s">
        <v>37</v>
      </c>
      <c r="R40" s="37">
        <v>0</v>
      </c>
    </row>
    <row r="41" spans="11:22" ht="15.75" thickBot="1" x14ac:dyDescent="0.3">
      <c r="K41" s="103"/>
      <c r="L41" s="67">
        <f>X.113+X.213+X.313-3*Y11tY12tY13tY14tY15</f>
        <v>0</v>
      </c>
      <c r="M41" s="68">
        <f>X.123+X.223+X.323-3*Y21tY22tY23tY24tY25</f>
        <v>0</v>
      </c>
      <c r="N41" s="68">
        <f>X.133+X.233+X.333-3*Y31tY32tY33tY34tY35</f>
        <v>0</v>
      </c>
      <c r="O41" s="68">
        <f>X.143+X.243+X.343-3*Y41tY42tY43tY44tY45</f>
        <v>0</v>
      </c>
      <c r="P41" s="69">
        <f>X.153+X.253+X.353-3*Y51tY52tY53tY54tY55</f>
        <v>0</v>
      </c>
      <c r="Q41" s="38" t="s">
        <v>37</v>
      </c>
      <c r="R41" s="37">
        <v>0</v>
      </c>
    </row>
  </sheetData>
  <sheetProtection selectLockedCells="1" selectUnlockedCells="1"/>
  <mergeCells count="9">
    <mergeCell ref="K39:K41"/>
    <mergeCell ref="L24:O24"/>
    <mergeCell ref="J2:K2"/>
    <mergeCell ref="L2:P2"/>
    <mergeCell ref="J4:J6"/>
    <mergeCell ref="J7:J9"/>
    <mergeCell ref="J10:J12"/>
    <mergeCell ref="L15:P15"/>
    <mergeCell ref="K35:K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oggleButton1">
          <controlPr defaultSize="0" autoLine="0" r:id="rId4">
            <anchor moveWithCells="1">
              <from>
                <xdr:col>20</xdr:col>
                <xdr:colOff>895350</xdr:colOff>
                <xdr:row>1</xdr:row>
                <xdr:rowOff>238125</xdr:rowOff>
              </from>
              <to>
                <xdr:col>22</xdr:col>
                <xdr:colOff>533400</xdr:colOff>
                <xdr:row>4</xdr:row>
                <xdr:rowOff>114300</xdr:rowOff>
              </to>
            </anchor>
          </controlPr>
        </control>
      </mc:Choice>
      <mc:Fallback>
        <control shapeId="2049" r:id="rId3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>
    <tabColor theme="7" tint="0.39997558519241921"/>
  </sheetPr>
  <dimension ref="H1:N16"/>
  <sheetViews>
    <sheetView showGridLines="0" showRowColHeaders="0" zoomScaleNormal="100" workbookViewId="0">
      <selection activeCell="H15" sqref="H15"/>
    </sheetView>
  </sheetViews>
  <sheetFormatPr defaultRowHeight="15" x14ac:dyDescent="0.25"/>
  <sheetData>
    <row r="1" spans="8:14" x14ac:dyDescent="0.25">
      <c r="H1" s="75"/>
      <c r="I1" s="75"/>
      <c r="J1" s="75"/>
      <c r="K1" s="75"/>
      <c r="L1" s="75"/>
      <c r="M1" s="75"/>
      <c r="N1" s="75"/>
    </row>
    <row r="2" spans="8:14" x14ac:dyDescent="0.25">
      <c r="H2" s="75"/>
      <c r="I2" s="75"/>
      <c r="J2" s="75"/>
      <c r="K2" s="75"/>
      <c r="L2" s="75"/>
      <c r="M2" s="75"/>
      <c r="N2" s="75"/>
    </row>
    <row r="3" spans="8:14" x14ac:dyDescent="0.25">
      <c r="H3" s="75"/>
      <c r="I3" s="75"/>
      <c r="J3" s="75"/>
      <c r="K3" s="75"/>
      <c r="L3" s="75"/>
      <c r="M3" s="75"/>
      <c r="N3" s="75"/>
    </row>
    <row r="4" spans="8:14" x14ac:dyDescent="0.25">
      <c r="H4" s="75"/>
      <c r="I4" s="75"/>
      <c r="J4" s="75"/>
      <c r="K4" s="75"/>
      <c r="L4" s="75"/>
      <c r="M4" s="75"/>
      <c r="N4" s="75"/>
    </row>
    <row r="5" spans="8:14" x14ac:dyDescent="0.25">
      <c r="H5" s="75"/>
      <c r="I5" s="75"/>
      <c r="J5" s="75"/>
      <c r="K5" s="75"/>
      <c r="L5" s="75"/>
      <c r="M5" s="75"/>
      <c r="N5" s="75"/>
    </row>
    <row r="6" spans="8:14" x14ac:dyDescent="0.25">
      <c r="H6" s="75"/>
      <c r="I6" s="75"/>
      <c r="J6" s="75"/>
      <c r="K6" s="75"/>
      <c r="L6" s="75"/>
      <c r="M6" s="75"/>
      <c r="N6" s="75"/>
    </row>
    <row r="7" spans="8:14" x14ac:dyDescent="0.25">
      <c r="H7" s="75"/>
      <c r="I7" s="75"/>
      <c r="J7" s="75"/>
      <c r="K7" s="75"/>
      <c r="L7" s="75"/>
      <c r="M7" s="75"/>
      <c r="N7" s="75"/>
    </row>
    <row r="8" spans="8:14" x14ac:dyDescent="0.25">
      <c r="H8" s="75"/>
      <c r="I8" s="75"/>
      <c r="J8" s="75"/>
      <c r="K8" s="75"/>
      <c r="L8" s="75"/>
      <c r="M8" s="75"/>
      <c r="N8" s="75"/>
    </row>
    <row r="9" spans="8:14" x14ac:dyDescent="0.25">
      <c r="H9" s="75"/>
      <c r="I9" s="75"/>
      <c r="J9" s="75"/>
      <c r="K9" s="75"/>
      <c r="L9" s="75"/>
      <c r="M9" s="75"/>
      <c r="N9" s="75"/>
    </row>
    <row r="10" spans="8:14" x14ac:dyDescent="0.25">
      <c r="H10" s="75"/>
      <c r="I10" s="75"/>
      <c r="J10" s="75"/>
      <c r="K10" s="75"/>
      <c r="L10" s="75"/>
      <c r="M10" s="75"/>
      <c r="N10" s="75"/>
    </row>
    <row r="11" spans="8:14" x14ac:dyDescent="0.25">
      <c r="H11" s="75"/>
      <c r="I11" s="75"/>
      <c r="J11" s="75"/>
      <c r="K11" s="75"/>
      <c r="L11" s="75"/>
      <c r="M11" s="75"/>
      <c r="N11" s="75"/>
    </row>
    <row r="12" spans="8:14" x14ac:dyDescent="0.25">
      <c r="H12" s="75"/>
      <c r="I12" s="75"/>
      <c r="J12" s="75"/>
      <c r="K12" s="75"/>
      <c r="L12" s="75"/>
      <c r="M12" s="75"/>
      <c r="N12" s="75"/>
    </row>
    <row r="13" spans="8:14" x14ac:dyDescent="0.25">
      <c r="H13" s="75"/>
      <c r="I13" s="75"/>
      <c r="J13" s="75"/>
      <c r="K13" s="75"/>
      <c r="L13" s="75"/>
      <c r="M13" s="75"/>
      <c r="N13" s="75"/>
    </row>
    <row r="14" spans="8:14" x14ac:dyDescent="0.25">
      <c r="H14" s="75"/>
      <c r="I14" s="75"/>
      <c r="J14" s="75"/>
      <c r="K14" s="75"/>
      <c r="L14" s="75"/>
      <c r="M14" s="75"/>
      <c r="N14" s="75"/>
    </row>
    <row r="15" spans="8:14" x14ac:dyDescent="0.25">
      <c r="H15" s="75"/>
      <c r="I15" s="75"/>
      <c r="J15" s="75"/>
      <c r="K15" s="75"/>
      <c r="L15" s="75"/>
      <c r="M15" s="75"/>
      <c r="N15" s="75"/>
    </row>
    <row r="16" spans="8:14" x14ac:dyDescent="0.25">
      <c r="H16" s="75"/>
      <c r="I16" s="75"/>
      <c r="J16" s="75"/>
      <c r="K16" s="75"/>
      <c r="L16" s="75"/>
      <c r="M16" s="75"/>
      <c r="N16" s="75"/>
    </row>
  </sheetData>
  <sheetProtection algorithmName="SHA-512" hashValue="sJJ/4fdoP9Aj1u/nt6+FAqY3E3anq4LZA1MrH5mOMO2edAXeGZ7RHCIkYQ6RczDGLry7mX7SQl1M0vrm9XfCpg==" saltValue="71J9/f7jkhOv86c9jN4/xw==" spinCount="100000" sheet="1" objects="1" scenarios="1" selectLockedCells="1" selectUnlockedCells="1"/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7</xdr:col>
                <xdr:colOff>323850</xdr:colOff>
                <xdr:row>10</xdr:row>
                <xdr:rowOff>171450</xdr:rowOff>
              </from>
              <to>
                <xdr:col>13</xdr:col>
                <xdr:colOff>161925</xdr:colOff>
                <xdr:row>13</xdr:row>
                <xdr:rowOff>47625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6" r:id="rId6" name="MusteriTalebi1">
          <controlPr defaultSize="0" autoLine="0" r:id="rId7">
            <anchor moveWithCells="1">
              <from>
                <xdr:col>10</xdr:col>
                <xdr:colOff>447675</xdr:colOff>
                <xdr:row>0</xdr:row>
                <xdr:rowOff>114300</xdr:rowOff>
              </from>
              <to>
                <xdr:col>12</xdr:col>
                <xdr:colOff>180975</xdr:colOff>
                <xdr:row>2</xdr:row>
                <xdr:rowOff>47625</xdr:rowOff>
              </to>
            </anchor>
          </controlPr>
        </control>
      </mc:Choice>
      <mc:Fallback>
        <control shapeId="3076" r:id="rId6" name="MusteriTalebi1"/>
      </mc:Fallback>
    </mc:AlternateContent>
    <mc:AlternateContent xmlns:mc="http://schemas.openxmlformats.org/markup-compatibility/2006">
      <mc:Choice Requires="x14">
        <control shapeId="3077" r:id="rId8" name="MusteriTalebi2">
          <controlPr defaultSize="0" autoLine="0" r:id="rId9">
            <anchor moveWithCells="1">
              <from>
                <xdr:col>10</xdr:col>
                <xdr:colOff>447675</xdr:colOff>
                <xdr:row>3</xdr:row>
                <xdr:rowOff>38100</xdr:rowOff>
              </from>
              <to>
                <xdr:col>12</xdr:col>
                <xdr:colOff>180975</xdr:colOff>
                <xdr:row>4</xdr:row>
                <xdr:rowOff>161925</xdr:rowOff>
              </to>
            </anchor>
          </controlPr>
        </control>
      </mc:Choice>
      <mc:Fallback>
        <control shapeId="3077" r:id="rId8" name="MusteriTalebi2"/>
      </mc:Fallback>
    </mc:AlternateContent>
    <mc:AlternateContent xmlns:mc="http://schemas.openxmlformats.org/markup-compatibility/2006">
      <mc:Choice Requires="x14">
        <control shapeId="3078" r:id="rId10" name="MusteriTalebi3">
          <controlPr defaultSize="0" autoLine="0" r:id="rId11">
            <anchor moveWithCells="1">
              <from>
                <xdr:col>10</xdr:col>
                <xdr:colOff>447675</xdr:colOff>
                <xdr:row>6</xdr:row>
                <xdr:rowOff>28575</xdr:rowOff>
              </from>
              <to>
                <xdr:col>12</xdr:col>
                <xdr:colOff>180975</xdr:colOff>
                <xdr:row>7</xdr:row>
                <xdr:rowOff>152400</xdr:rowOff>
              </to>
            </anchor>
          </controlPr>
        </control>
      </mc:Choice>
      <mc:Fallback>
        <control shapeId="3078" r:id="rId10" name="MusteriTalebi3"/>
      </mc:Fallback>
    </mc:AlternateContent>
    <mc:AlternateContent xmlns:mc="http://schemas.openxmlformats.org/markup-compatibility/2006">
      <mc:Choice Requires="x14">
        <control shapeId="3079" r:id="rId12" name="MusteriTalebi4">
          <controlPr defaultSize="0" autoLine="0" r:id="rId13">
            <anchor moveWithCells="1">
              <from>
                <xdr:col>10</xdr:col>
                <xdr:colOff>447675</xdr:colOff>
                <xdr:row>8</xdr:row>
                <xdr:rowOff>171450</xdr:rowOff>
              </from>
              <to>
                <xdr:col>12</xdr:col>
                <xdr:colOff>180975</xdr:colOff>
                <xdr:row>10</xdr:row>
                <xdr:rowOff>104775</xdr:rowOff>
              </to>
            </anchor>
          </controlPr>
        </control>
      </mc:Choice>
      <mc:Fallback>
        <control shapeId="3079" r:id="rId12" name="MusteriTalebi4"/>
      </mc:Fallback>
    </mc:AlternateContent>
    <mc:AlternateContent xmlns:mc="http://schemas.openxmlformats.org/markup-compatibility/2006">
      <mc:Choice Requires="x14">
        <control shapeId="3080" r:id="rId14" name="Label1">
          <controlPr defaultSize="0" autoLine="0" r:id="rId15">
            <anchor moveWithCells="1">
              <from>
                <xdr:col>7</xdr:col>
                <xdr:colOff>466725</xdr:colOff>
                <xdr:row>0</xdr:row>
                <xdr:rowOff>142875</xdr:rowOff>
              </from>
              <to>
                <xdr:col>10</xdr:col>
                <xdr:colOff>180975</xdr:colOff>
                <xdr:row>2</xdr:row>
                <xdr:rowOff>38100</xdr:rowOff>
              </to>
            </anchor>
          </controlPr>
        </control>
      </mc:Choice>
      <mc:Fallback>
        <control shapeId="3080" r:id="rId14" name="Label1"/>
      </mc:Fallback>
    </mc:AlternateContent>
    <mc:AlternateContent xmlns:mc="http://schemas.openxmlformats.org/markup-compatibility/2006">
      <mc:Choice Requires="x14">
        <control shapeId="3081" r:id="rId16" name="Label2">
          <controlPr defaultSize="0" autoLine="0" r:id="rId17">
            <anchor moveWithCells="1">
              <from>
                <xdr:col>7</xdr:col>
                <xdr:colOff>457200</xdr:colOff>
                <xdr:row>3</xdr:row>
                <xdr:rowOff>66675</xdr:rowOff>
              </from>
              <to>
                <xdr:col>10</xdr:col>
                <xdr:colOff>171450</xdr:colOff>
                <xdr:row>4</xdr:row>
                <xdr:rowOff>152400</xdr:rowOff>
              </to>
            </anchor>
          </controlPr>
        </control>
      </mc:Choice>
      <mc:Fallback>
        <control shapeId="3081" r:id="rId16" name="Label2"/>
      </mc:Fallback>
    </mc:AlternateContent>
    <mc:AlternateContent xmlns:mc="http://schemas.openxmlformats.org/markup-compatibility/2006">
      <mc:Choice Requires="x14">
        <control shapeId="3082" r:id="rId18" name="Label3">
          <controlPr defaultSize="0" autoLine="0" r:id="rId19">
            <anchor moveWithCells="1">
              <from>
                <xdr:col>7</xdr:col>
                <xdr:colOff>476250</xdr:colOff>
                <xdr:row>6</xdr:row>
                <xdr:rowOff>38100</xdr:rowOff>
              </from>
              <to>
                <xdr:col>10</xdr:col>
                <xdr:colOff>190500</xdr:colOff>
                <xdr:row>7</xdr:row>
                <xdr:rowOff>123825</xdr:rowOff>
              </to>
            </anchor>
          </controlPr>
        </control>
      </mc:Choice>
      <mc:Fallback>
        <control shapeId="3082" r:id="rId18" name="Label3"/>
      </mc:Fallback>
    </mc:AlternateContent>
    <mc:AlternateContent xmlns:mc="http://schemas.openxmlformats.org/markup-compatibility/2006">
      <mc:Choice Requires="x14">
        <control shapeId="3083" r:id="rId20" name="Label4">
          <controlPr defaultSize="0" autoLine="0" r:id="rId21">
            <anchor moveWithCells="1">
              <from>
                <xdr:col>7</xdr:col>
                <xdr:colOff>485775</xdr:colOff>
                <xdr:row>9</xdr:row>
                <xdr:rowOff>9525</xdr:rowOff>
              </from>
              <to>
                <xdr:col>10</xdr:col>
                <xdr:colOff>200025</xdr:colOff>
                <xdr:row>10</xdr:row>
                <xdr:rowOff>95250</xdr:rowOff>
              </to>
            </anchor>
          </controlPr>
        </control>
      </mc:Choice>
      <mc:Fallback>
        <control shapeId="3083" r:id="rId20" name="Label4"/>
      </mc:Fallback>
    </mc:AlternateContent>
    <mc:AlternateContent xmlns:mc="http://schemas.openxmlformats.org/markup-compatibility/2006">
      <mc:Choice Requires="x14">
        <control shapeId="3084" r:id="rId22" name="Label5">
          <controlPr defaultSize="0" autoLine="0" r:id="rId23">
            <anchor moveWithCells="1">
              <from>
                <xdr:col>10</xdr:col>
                <xdr:colOff>28575</xdr:colOff>
                <xdr:row>13</xdr:row>
                <xdr:rowOff>76200</xdr:rowOff>
              </from>
              <to>
                <xdr:col>12</xdr:col>
                <xdr:colOff>180975</xdr:colOff>
                <xdr:row>15</xdr:row>
                <xdr:rowOff>104775</xdr:rowOff>
              </to>
            </anchor>
          </controlPr>
        </control>
      </mc:Choice>
      <mc:Fallback>
        <control shapeId="3084" r:id="rId22" name="Label5"/>
      </mc:Fallback>
    </mc:AlternateContent>
    <mc:AlternateContent xmlns:mc="http://schemas.openxmlformats.org/markup-compatibility/2006">
      <mc:Choice Requires="x14">
        <control shapeId="3085" r:id="rId24" name="Label6">
          <controlPr defaultSize="0" autoLine="0" r:id="rId25">
            <anchor moveWithCells="1">
              <from>
                <xdr:col>12</xdr:col>
                <xdr:colOff>171450</xdr:colOff>
                <xdr:row>0</xdr:row>
                <xdr:rowOff>114300</xdr:rowOff>
              </from>
              <to>
                <xdr:col>13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3085" r:id="rId24" name="Label6"/>
      </mc:Fallback>
    </mc:AlternateContent>
    <mc:AlternateContent xmlns:mc="http://schemas.openxmlformats.org/markup-compatibility/2006">
      <mc:Choice Requires="x14">
        <control shapeId="3086" r:id="rId26" name="Label7">
          <controlPr defaultSize="0" autoLine="0" r:id="rId27">
            <anchor moveWithCells="1">
              <from>
                <xdr:col>12</xdr:col>
                <xdr:colOff>171450</xdr:colOff>
                <xdr:row>3</xdr:row>
                <xdr:rowOff>38100</xdr:rowOff>
              </from>
              <to>
                <xdr:col>13</xdr:col>
                <xdr:colOff>28575</xdr:colOff>
                <xdr:row>4</xdr:row>
                <xdr:rowOff>152400</xdr:rowOff>
              </to>
            </anchor>
          </controlPr>
        </control>
      </mc:Choice>
      <mc:Fallback>
        <control shapeId="3086" r:id="rId26" name="Label7"/>
      </mc:Fallback>
    </mc:AlternateContent>
    <mc:AlternateContent xmlns:mc="http://schemas.openxmlformats.org/markup-compatibility/2006">
      <mc:Choice Requires="x14">
        <control shapeId="3087" r:id="rId28" name="Label8">
          <controlPr defaultSize="0" autoLine="0" r:id="rId29">
            <anchor moveWithCells="1">
              <from>
                <xdr:col>12</xdr:col>
                <xdr:colOff>171450</xdr:colOff>
                <xdr:row>6</xdr:row>
                <xdr:rowOff>28575</xdr:rowOff>
              </from>
              <to>
                <xdr:col>13</xdr:col>
                <xdr:colOff>28575</xdr:colOff>
                <xdr:row>7</xdr:row>
                <xdr:rowOff>142875</xdr:rowOff>
              </to>
            </anchor>
          </controlPr>
        </control>
      </mc:Choice>
      <mc:Fallback>
        <control shapeId="3087" r:id="rId28" name="Label8"/>
      </mc:Fallback>
    </mc:AlternateContent>
    <mc:AlternateContent xmlns:mc="http://schemas.openxmlformats.org/markup-compatibility/2006">
      <mc:Choice Requires="x14">
        <control shapeId="3088" r:id="rId30" name="Label9">
          <controlPr defaultSize="0" autoLine="0" r:id="rId31">
            <anchor moveWithCells="1">
              <from>
                <xdr:col>12</xdr:col>
                <xdr:colOff>171450</xdr:colOff>
                <xdr:row>8</xdr:row>
                <xdr:rowOff>171450</xdr:rowOff>
              </from>
              <to>
                <xdr:col>13</xdr:col>
                <xdr:colOff>28575</xdr:colOff>
                <xdr:row>10</xdr:row>
                <xdr:rowOff>95250</xdr:rowOff>
              </to>
            </anchor>
          </controlPr>
        </control>
      </mc:Choice>
      <mc:Fallback>
        <control shapeId="3088" r:id="rId30" name="Label9"/>
      </mc:Fallback>
    </mc:AlternateContent>
    <mc:AlternateContent xmlns:mc="http://schemas.openxmlformats.org/markup-compatibility/2006">
      <mc:Choice Requires="x14">
        <control shapeId="3089" r:id="rId32" name="Label10">
          <controlPr defaultSize="0" autoLine="0" r:id="rId33">
            <anchor moveWithCells="1">
              <from>
                <xdr:col>12</xdr:col>
                <xdr:colOff>161925</xdr:colOff>
                <xdr:row>13</xdr:row>
                <xdr:rowOff>76200</xdr:rowOff>
              </from>
              <to>
                <xdr:col>13</xdr:col>
                <xdr:colOff>152400</xdr:colOff>
                <xdr:row>15</xdr:row>
                <xdr:rowOff>104775</xdr:rowOff>
              </to>
            </anchor>
          </controlPr>
        </control>
      </mc:Choice>
      <mc:Fallback>
        <control shapeId="3089" r:id="rId32" name="Label10"/>
      </mc:Fallback>
    </mc:AlternateContent>
    <mc:AlternateContent xmlns:mc="http://schemas.openxmlformats.org/markup-compatibility/2006">
      <mc:Choice Requires="x14">
        <control shapeId="3090" r:id="rId34" name="ToggleButton1">
          <controlPr defaultSize="0" autoLine="0" r:id="rId35">
            <anchor moveWithCells="1">
              <from>
                <xdr:col>7</xdr:col>
                <xdr:colOff>323850</xdr:colOff>
                <xdr:row>13</xdr:row>
                <xdr:rowOff>104775</xdr:rowOff>
              </from>
              <to>
                <xdr:col>9</xdr:col>
                <xdr:colOff>504825</xdr:colOff>
                <xdr:row>15</xdr:row>
                <xdr:rowOff>66675</xdr:rowOff>
              </to>
            </anchor>
          </controlPr>
        </control>
      </mc:Choice>
      <mc:Fallback>
        <control shapeId="3090" r:id="rId34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4">
    <tabColor theme="4" tint="-0.499984740745262"/>
  </sheetPr>
  <dimension ref="A1"/>
  <sheetViews>
    <sheetView showGridLines="0" showRowColHeaders="0" tabSelected="1" workbookViewId="0">
      <selection activeCell="G20" sqref="G20"/>
    </sheetView>
  </sheetViews>
  <sheetFormatPr defaultRowHeight="15" x14ac:dyDescent="0.25"/>
  <cols>
    <col min="1" max="16384" width="9.140625" style="74"/>
  </cols>
  <sheetData/>
  <sheetProtection sheet="1" objects="1" scenarios="1" selectLockedCells="1" selectUn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oggleButton1">
          <controlPr defaultSize="0" autoFill="0" autoLine="0" r:id="rId4">
            <anchor moveWithCells="1">
              <from>
                <xdr:col>7</xdr:col>
                <xdr:colOff>142875</xdr:colOff>
                <xdr:row>11</xdr:row>
                <xdr:rowOff>47625</xdr:rowOff>
              </from>
              <to>
                <xdr:col>14</xdr:col>
                <xdr:colOff>266700</xdr:colOff>
                <xdr:row>17</xdr:row>
                <xdr:rowOff>0</xdr:rowOff>
              </to>
            </anchor>
          </controlPr>
        </control>
      </mc:Choice>
      <mc:Fallback>
        <control shapeId="4097" r:id="rId3" name="ToggleButton1"/>
      </mc:Fallback>
    </mc:AlternateContent>
    <mc:AlternateContent xmlns:mc="http://schemas.openxmlformats.org/markup-compatibility/2006">
      <mc:Choice Requires="x14">
        <control shapeId="4098" r:id="rId5" name="ToggleButton2">
          <controlPr defaultSize="0" autoLine="0" autoPict="0" r:id="rId6">
            <anchor moveWithCells="1">
              <from>
                <xdr:col>0</xdr:col>
                <xdr:colOff>542925</xdr:colOff>
                <xdr:row>12</xdr:row>
                <xdr:rowOff>123825</xdr:rowOff>
              </from>
              <to>
                <xdr:col>3</xdr:col>
                <xdr:colOff>276225</xdr:colOff>
                <xdr:row>15</xdr:row>
                <xdr:rowOff>57150</xdr:rowOff>
              </to>
            </anchor>
          </controlPr>
        </control>
      </mc:Choice>
      <mc:Fallback>
        <control shapeId="4098" r:id="rId5" name="ToggleButton2"/>
      </mc:Fallback>
    </mc:AlternateContent>
    <mc:AlternateContent xmlns:mc="http://schemas.openxmlformats.org/markup-compatibility/2006">
      <mc:Choice Requires="x14">
        <control shapeId="4099" r:id="rId7" name="ToggleButton3">
          <controlPr defaultSize="0" autoLine="0" r:id="rId8">
            <anchor moveWithCells="1">
              <from>
                <xdr:col>17</xdr:col>
                <xdr:colOff>600075</xdr:colOff>
                <xdr:row>12</xdr:row>
                <xdr:rowOff>0</xdr:rowOff>
              </from>
              <to>
                <xdr:col>20</xdr:col>
                <xdr:colOff>247650</xdr:colOff>
                <xdr:row>15</xdr:row>
                <xdr:rowOff>47625</xdr:rowOff>
              </to>
            </anchor>
          </controlPr>
        </control>
      </mc:Choice>
      <mc:Fallback>
        <control shapeId="4099" r:id="rId7" name="ToggleButton3"/>
      </mc:Fallback>
    </mc:AlternateContent>
    <mc:AlternateContent xmlns:mc="http://schemas.openxmlformats.org/markup-compatibility/2006">
      <mc:Choice Requires="x14">
        <control shapeId="4100" r:id="rId9" name="ToggleButton4">
          <controlPr defaultSize="0" autoLine="0" r:id="rId10">
            <anchor moveWithCells="1">
              <from>
                <xdr:col>8</xdr:col>
                <xdr:colOff>381000</xdr:colOff>
                <xdr:row>22</xdr:row>
                <xdr:rowOff>123825</xdr:rowOff>
              </from>
              <to>
                <xdr:col>12</xdr:col>
                <xdr:colOff>581025</xdr:colOff>
                <xdr:row>25</xdr:row>
                <xdr:rowOff>28575</xdr:rowOff>
              </to>
            </anchor>
          </controlPr>
        </control>
      </mc:Choice>
      <mc:Fallback>
        <control shapeId="4100" r:id="rId9" name="ToggleButton4"/>
      </mc:Fallback>
    </mc:AlternateContent>
    <mc:AlternateContent xmlns:mc="http://schemas.openxmlformats.org/markup-compatibility/2006">
      <mc:Choice Requires="x14">
        <control shapeId="4101" r:id="rId11" name="ToggleButton5">
          <controlPr defaultSize="0" autoLine="0" r:id="rId12">
            <anchor moveWithCells="1">
              <from>
                <xdr:col>2</xdr:col>
                <xdr:colOff>57150</xdr:colOff>
                <xdr:row>28</xdr:row>
                <xdr:rowOff>66675</xdr:rowOff>
              </from>
              <to>
                <xdr:col>4</xdr:col>
                <xdr:colOff>428625</xdr:colOff>
                <xdr:row>33</xdr:row>
                <xdr:rowOff>66675</xdr:rowOff>
              </to>
            </anchor>
          </controlPr>
        </control>
      </mc:Choice>
      <mc:Fallback>
        <control shapeId="4101" r:id="rId11" name="ToggleButton5"/>
      </mc:Fallback>
    </mc:AlternateContent>
    <mc:AlternateContent xmlns:mc="http://schemas.openxmlformats.org/markup-compatibility/2006">
      <mc:Choice Requires="x14">
        <control shapeId="4103" r:id="rId13" name="ToggleButton6">
          <controlPr defaultSize="0" autoLine="0" r:id="rId14">
            <anchor moveWithCells="1">
              <from>
                <xdr:col>6</xdr:col>
                <xdr:colOff>600075</xdr:colOff>
                <xdr:row>28</xdr:row>
                <xdr:rowOff>66675</xdr:rowOff>
              </from>
              <to>
                <xdr:col>9</xdr:col>
                <xdr:colOff>361950</xdr:colOff>
                <xdr:row>33</xdr:row>
                <xdr:rowOff>66675</xdr:rowOff>
              </to>
            </anchor>
          </controlPr>
        </control>
      </mc:Choice>
      <mc:Fallback>
        <control shapeId="4103" r:id="rId13" name="ToggleButton6"/>
      </mc:Fallback>
    </mc:AlternateContent>
    <mc:AlternateContent xmlns:mc="http://schemas.openxmlformats.org/markup-compatibility/2006">
      <mc:Choice Requires="x14">
        <control shapeId="4104" r:id="rId15" name="ToggleButton7">
          <controlPr defaultSize="0" autoLine="0" r:id="rId16">
            <anchor moveWithCells="1">
              <from>
                <xdr:col>11</xdr:col>
                <xdr:colOff>400050</xdr:colOff>
                <xdr:row>28</xdr:row>
                <xdr:rowOff>66675</xdr:rowOff>
              </from>
              <to>
                <xdr:col>14</xdr:col>
                <xdr:colOff>161925</xdr:colOff>
                <xdr:row>33</xdr:row>
                <xdr:rowOff>66675</xdr:rowOff>
              </to>
            </anchor>
          </controlPr>
        </control>
      </mc:Choice>
      <mc:Fallback>
        <control shapeId="4104" r:id="rId15" name="ToggleButton7"/>
      </mc:Fallback>
    </mc:AlternateContent>
    <mc:AlternateContent xmlns:mc="http://schemas.openxmlformats.org/markup-compatibility/2006">
      <mc:Choice Requires="x14">
        <control shapeId="4105" r:id="rId17" name="ToggleButton8">
          <controlPr defaultSize="0" autoLine="0" r:id="rId18">
            <anchor moveWithCells="1">
              <from>
                <xdr:col>17</xdr:col>
                <xdr:colOff>19050</xdr:colOff>
                <xdr:row>28</xdr:row>
                <xdr:rowOff>66675</xdr:rowOff>
              </from>
              <to>
                <xdr:col>19</xdr:col>
                <xdr:colOff>390525</xdr:colOff>
                <xdr:row>33</xdr:row>
                <xdr:rowOff>66675</xdr:rowOff>
              </to>
            </anchor>
          </controlPr>
        </control>
      </mc:Choice>
      <mc:Fallback>
        <control shapeId="4105" r:id="rId17" name="ToggleButton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260</vt:i4>
      </vt:variant>
    </vt:vector>
  </HeadingPairs>
  <TitlesOfParts>
    <vt:vector size="264" baseType="lpstr">
      <vt:lpstr>Data ve Notasyon</vt:lpstr>
      <vt:lpstr>Amaç F. ve Kısıtlar</vt:lpstr>
      <vt:lpstr>Karar Destek Sistemi</vt:lpstr>
      <vt:lpstr>Tedarik Zinciri Yönetimi</vt:lpstr>
      <vt:lpstr>a.11</vt:lpstr>
      <vt:lpstr>a.12</vt:lpstr>
      <vt:lpstr>a.13</vt:lpstr>
      <vt:lpstr>a.21</vt:lpstr>
      <vt:lpstr>a.22</vt:lpstr>
      <vt:lpstr>a.23</vt:lpstr>
      <vt:lpstr>a.31</vt:lpstr>
      <vt:lpstr>a.32</vt:lpstr>
      <vt:lpstr>a.33</vt:lpstr>
      <vt:lpstr>b.1</vt:lpstr>
      <vt:lpstr>b.2</vt:lpstr>
      <vt:lpstr>b.3</vt:lpstr>
      <vt:lpstr>b.4</vt:lpstr>
      <vt:lpstr>b.5</vt:lpstr>
      <vt:lpstr>C..11</vt:lpstr>
      <vt:lpstr>C..12</vt:lpstr>
      <vt:lpstr>C..13</vt:lpstr>
      <vt:lpstr>C..14</vt:lpstr>
      <vt:lpstr>C..21</vt:lpstr>
      <vt:lpstr>C..22</vt:lpstr>
      <vt:lpstr>C..23</vt:lpstr>
      <vt:lpstr>C..24</vt:lpstr>
      <vt:lpstr>C..31</vt:lpstr>
      <vt:lpstr>C..32</vt:lpstr>
      <vt:lpstr>C..33</vt:lpstr>
      <vt:lpstr>C..34</vt:lpstr>
      <vt:lpstr>C..41</vt:lpstr>
      <vt:lpstr>C..42</vt:lpstr>
      <vt:lpstr>C..43</vt:lpstr>
      <vt:lpstr>C..44</vt:lpstr>
      <vt:lpstr>C..51</vt:lpstr>
      <vt:lpstr>C..52</vt:lpstr>
      <vt:lpstr>C..53</vt:lpstr>
      <vt:lpstr>C..54</vt:lpstr>
      <vt:lpstr>c.1</vt:lpstr>
      <vt:lpstr>C.11</vt:lpstr>
      <vt:lpstr>C.111</vt:lpstr>
      <vt:lpstr>C.112</vt:lpstr>
      <vt:lpstr>C.113</vt:lpstr>
      <vt:lpstr>C.12</vt:lpstr>
      <vt:lpstr>C.121</vt:lpstr>
      <vt:lpstr>C.122</vt:lpstr>
      <vt:lpstr>C.123</vt:lpstr>
      <vt:lpstr>C.13</vt:lpstr>
      <vt:lpstr>C.131</vt:lpstr>
      <vt:lpstr>C.132</vt:lpstr>
      <vt:lpstr>C.133</vt:lpstr>
      <vt:lpstr>C.14</vt:lpstr>
      <vt:lpstr>C.141</vt:lpstr>
      <vt:lpstr>C.142</vt:lpstr>
      <vt:lpstr>C.143</vt:lpstr>
      <vt:lpstr>C.15</vt:lpstr>
      <vt:lpstr>C.151</vt:lpstr>
      <vt:lpstr>C.152</vt:lpstr>
      <vt:lpstr>C.153</vt:lpstr>
      <vt:lpstr>c.2</vt:lpstr>
      <vt:lpstr>C.21</vt:lpstr>
      <vt:lpstr>C.211</vt:lpstr>
      <vt:lpstr>C.212</vt:lpstr>
      <vt:lpstr>C.213</vt:lpstr>
      <vt:lpstr>C.22</vt:lpstr>
      <vt:lpstr>C.221</vt:lpstr>
      <vt:lpstr>C.222</vt:lpstr>
      <vt:lpstr>C.223</vt:lpstr>
      <vt:lpstr>C.23</vt:lpstr>
      <vt:lpstr>C.231</vt:lpstr>
      <vt:lpstr>C.232</vt:lpstr>
      <vt:lpstr>C.233</vt:lpstr>
      <vt:lpstr>C.24</vt:lpstr>
      <vt:lpstr>C.241</vt:lpstr>
      <vt:lpstr>C.242</vt:lpstr>
      <vt:lpstr>C.243</vt:lpstr>
      <vt:lpstr>C.25</vt:lpstr>
      <vt:lpstr>C.251</vt:lpstr>
      <vt:lpstr>C.252</vt:lpstr>
      <vt:lpstr>C.253</vt:lpstr>
      <vt:lpstr>c.3</vt:lpstr>
      <vt:lpstr>C.31</vt:lpstr>
      <vt:lpstr>C.311</vt:lpstr>
      <vt:lpstr>C.312</vt:lpstr>
      <vt:lpstr>C.313</vt:lpstr>
      <vt:lpstr>C.32</vt:lpstr>
      <vt:lpstr>C.321</vt:lpstr>
      <vt:lpstr>C.322</vt:lpstr>
      <vt:lpstr>C.323</vt:lpstr>
      <vt:lpstr>C.33</vt:lpstr>
      <vt:lpstr>C.331</vt:lpstr>
      <vt:lpstr>C.332</vt:lpstr>
      <vt:lpstr>C.333</vt:lpstr>
      <vt:lpstr>C.34</vt:lpstr>
      <vt:lpstr>C.341</vt:lpstr>
      <vt:lpstr>C.342</vt:lpstr>
      <vt:lpstr>C.343</vt:lpstr>
      <vt:lpstr>C.35</vt:lpstr>
      <vt:lpstr>C.351</vt:lpstr>
      <vt:lpstr>C.352</vt:lpstr>
      <vt:lpstr>C.353</vt:lpstr>
      <vt:lpstr>c.4</vt:lpstr>
      <vt:lpstr>C.41</vt:lpstr>
      <vt:lpstr>C.42</vt:lpstr>
      <vt:lpstr>C.43</vt:lpstr>
      <vt:lpstr>C.44</vt:lpstr>
      <vt:lpstr>C.45</vt:lpstr>
      <vt:lpstr>c.5</vt:lpstr>
      <vt:lpstr>C.51</vt:lpstr>
      <vt:lpstr>C.52</vt:lpstr>
      <vt:lpstr>C.53</vt:lpstr>
      <vt:lpstr>C.54</vt:lpstr>
      <vt:lpstr>C.55</vt:lpstr>
      <vt:lpstr>Cijt</vt:lpstr>
      <vt:lpstr>Cjk</vt:lpstr>
      <vt:lpstr>Ckl</vt:lpstr>
      <vt:lpstr>D.</vt:lpstr>
      <vt:lpstr>d.1</vt:lpstr>
      <vt:lpstr>d.2</vt:lpstr>
      <vt:lpstr>d.3</vt:lpstr>
      <vt:lpstr>d.4</vt:lpstr>
      <vt:lpstr>DELTA.1</vt:lpstr>
      <vt:lpstr>DELTA.2</vt:lpstr>
      <vt:lpstr>DELTA.3</vt:lpstr>
      <vt:lpstr>DELTA.4</vt:lpstr>
      <vt:lpstr>DELTA.5</vt:lpstr>
      <vt:lpstr>DELTA1tDELTA2tDELTA3tDELTA4tDELTA5</vt:lpstr>
      <vt:lpstr>DELTAk</vt:lpstr>
      <vt:lpstr>Fİ.1</vt:lpstr>
      <vt:lpstr>Fİ.2</vt:lpstr>
      <vt:lpstr>Fİ.3</vt:lpstr>
      <vt:lpstr>Fİ.4</vt:lpstr>
      <vt:lpstr>Fİ.5</vt:lpstr>
      <vt:lpstr>Fİ1tFİ2tFİ3tFİ4tFİ5</vt:lpstr>
      <vt:lpstr>Fİj</vt:lpstr>
      <vt:lpstr>P.</vt:lpstr>
      <vt:lpstr>q.1</vt:lpstr>
      <vt:lpstr>q.2</vt:lpstr>
      <vt:lpstr>q.3</vt:lpstr>
      <vt:lpstr>q.4</vt:lpstr>
      <vt:lpstr>q.5</vt:lpstr>
      <vt:lpstr>Qj</vt:lpstr>
      <vt:lpstr>s.1</vt:lpstr>
      <vt:lpstr>s.2</vt:lpstr>
      <vt:lpstr>s.3</vt:lpstr>
      <vt:lpstr>s.4</vt:lpstr>
      <vt:lpstr>s.5</vt:lpstr>
      <vt:lpstr>Sk</vt:lpstr>
      <vt:lpstr>X.111</vt:lpstr>
      <vt:lpstr>X.112</vt:lpstr>
      <vt:lpstr>X.113</vt:lpstr>
      <vt:lpstr>X.121</vt:lpstr>
      <vt:lpstr>X.122</vt:lpstr>
      <vt:lpstr>X.123</vt:lpstr>
      <vt:lpstr>X.131</vt:lpstr>
      <vt:lpstr>X.132</vt:lpstr>
      <vt:lpstr>X.133</vt:lpstr>
      <vt:lpstr>X.141</vt:lpstr>
      <vt:lpstr>X.142</vt:lpstr>
      <vt:lpstr>X.143</vt:lpstr>
      <vt:lpstr>X.151</vt:lpstr>
      <vt:lpstr>X.152</vt:lpstr>
      <vt:lpstr>X.153</vt:lpstr>
      <vt:lpstr>X.211</vt:lpstr>
      <vt:lpstr>X.212</vt:lpstr>
      <vt:lpstr>X.213</vt:lpstr>
      <vt:lpstr>X.221</vt:lpstr>
      <vt:lpstr>X.222</vt:lpstr>
      <vt:lpstr>X.223</vt:lpstr>
      <vt:lpstr>X.231</vt:lpstr>
      <vt:lpstr>X.232</vt:lpstr>
      <vt:lpstr>X.233</vt:lpstr>
      <vt:lpstr>X.241</vt:lpstr>
      <vt:lpstr>X.242</vt:lpstr>
      <vt:lpstr>X.243</vt:lpstr>
      <vt:lpstr>X.251</vt:lpstr>
      <vt:lpstr>X.252</vt:lpstr>
      <vt:lpstr>X.253</vt:lpstr>
      <vt:lpstr>X.311</vt:lpstr>
      <vt:lpstr>X.312</vt:lpstr>
      <vt:lpstr>X.313</vt:lpstr>
      <vt:lpstr>X.321</vt:lpstr>
      <vt:lpstr>X.322</vt:lpstr>
      <vt:lpstr>X.323</vt:lpstr>
      <vt:lpstr>X.331</vt:lpstr>
      <vt:lpstr>X.332</vt:lpstr>
      <vt:lpstr>X.333</vt:lpstr>
      <vt:lpstr>X.341</vt:lpstr>
      <vt:lpstr>X.342</vt:lpstr>
      <vt:lpstr>X.343</vt:lpstr>
      <vt:lpstr>X.351</vt:lpstr>
      <vt:lpstr>X.352</vt:lpstr>
      <vt:lpstr>X.353</vt:lpstr>
      <vt:lpstr>X111tX121tX131tX141tX151</vt:lpstr>
      <vt:lpstr>X112tX122tX132tX142tX152</vt:lpstr>
      <vt:lpstr>X113tX123tX133tX143tX153</vt:lpstr>
      <vt:lpstr>X211tX221tX231tX241tX251</vt:lpstr>
      <vt:lpstr>X212tX222tX232tX242tX252</vt:lpstr>
      <vt:lpstr>X213tX223tX233tX243tX253</vt:lpstr>
      <vt:lpstr>X311tX321tX331tX341tX351</vt:lpstr>
      <vt:lpstr>X312tX322tX332tX342tX352</vt:lpstr>
      <vt:lpstr>X313tX323tX333tX343tX353</vt:lpstr>
      <vt:lpstr>Xijt</vt:lpstr>
      <vt:lpstr>Y.11</vt:lpstr>
      <vt:lpstr>Y.12</vt:lpstr>
      <vt:lpstr>Y.13</vt:lpstr>
      <vt:lpstr>Y.14</vt:lpstr>
      <vt:lpstr>Y.15</vt:lpstr>
      <vt:lpstr>Y.21</vt:lpstr>
      <vt:lpstr>Y.22</vt:lpstr>
      <vt:lpstr>Y.23</vt:lpstr>
      <vt:lpstr>Y.24</vt:lpstr>
      <vt:lpstr>Y.25</vt:lpstr>
      <vt:lpstr>Y.31</vt:lpstr>
      <vt:lpstr>Y.32</vt:lpstr>
      <vt:lpstr>Y.33</vt:lpstr>
      <vt:lpstr>Y.34</vt:lpstr>
      <vt:lpstr>Y.35</vt:lpstr>
      <vt:lpstr>Y.41</vt:lpstr>
      <vt:lpstr>Y.42</vt:lpstr>
      <vt:lpstr>Y.43</vt:lpstr>
      <vt:lpstr>Y.44</vt:lpstr>
      <vt:lpstr>Y.45</vt:lpstr>
      <vt:lpstr>Y.51</vt:lpstr>
      <vt:lpstr>Y.52</vt:lpstr>
      <vt:lpstr>Y.53</vt:lpstr>
      <vt:lpstr>Y.54</vt:lpstr>
      <vt:lpstr>Y.55</vt:lpstr>
      <vt:lpstr>Y11tY12tY13tY14tY15</vt:lpstr>
      <vt:lpstr>Y21tY22tY23tY24tY25</vt:lpstr>
      <vt:lpstr>Y31tY32tY33tY34tY35</vt:lpstr>
      <vt:lpstr>Y41tY42tY43tY44tY45</vt:lpstr>
      <vt:lpstr>Y51tY52tY53tY54tY55</vt:lpstr>
      <vt:lpstr>Yjk</vt:lpstr>
      <vt:lpstr>Z.11</vt:lpstr>
      <vt:lpstr>Z.12</vt:lpstr>
      <vt:lpstr>Z.13</vt:lpstr>
      <vt:lpstr>Z.14</vt:lpstr>
      <vt:lpstr>Z.21</vt:lpstr>
      <vt:lpstr>Z.22</vt:lpstr>
      <vt:lpstr>Z.23</vt:lpstr>
      <vt:lpstr>Z.24</vt:lpstr>
      <vt:lpstr>Z.31</vt:lpstr>
      <vt:lpstr>Z.32</vt:lpstr>
      <vt:lpstr>Z.33</vt:lpstr>
      <vt:lpstr>Z.34</vt:lpstr>
      <vt:lpstr>Z.41</vt:lpstr>
      <vt:lpstr>Z.42</vt:lpstr>
      <vt:lpstr>Z.43</vt:lpstr>
      <vt:lpstr>Z.44</vt:lpstr>
      <vt:lpstr>Z.51</vt:lpstr>
      <vt:lpstr>Z.52</vt:lpstr>
      <vt:lpstr>Z.53</vt:lpstr>
      <vt:lpstr>Z.54</vt:lpstr>
      <vt:lpstr>Z11tZ12tZ13tZ14</vt:lpstr>
      <vt:lpstr>Z11tZ21tZ31tZ41tZ51</vt:lpstr>
      <vt:lpstr>Z12tZ22tZ32tZ42tZ52</vt:lpstr>
      <vt:lpstr>Z13tZ23tZ33tZ43tZ53</vt:lpstr>
      <vt:lpstr>Z14tZ24tZ34tZ44tZ54</vt:lpstr>
      <vt:lpstr>Z21tZ22tZ23tZ24</vt:lpstr>
      <vt:lpstr>Z31tZ32tZ33tZ34</vt:lpstr>
      <vt:lpstr>Z41tZ42tZ43tZ44</vt:lpstr>
      <vt:lpstr>Z51tZ52tZ53tZ54</vt:lpstr>
      <vt:lpstr>Zkl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Sefa Aksüngü</dc:creator>
  <cp:lastModifiedBy>Sefa Aksüngü</cp:lastModifiedBy>
  <dcterms:created xsi:type="dcterms:W3CDTF">2018-12-15T10:42:10Z</dcterms:created>
  <dcterms:modified xsi:type="dcterms:W3CDTF">2021-03-21T14:24:30Z</dcterms:modified>
</cp:coreProperties>
</file>