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HP\Desktop\Projeler\Managment Science-Proje-VBA\"/>
    </mc:Choice>
  </mc:AlternateContent>
  <bookViews>
    <workbookView xWindow="0" yWindow="0" windowWidth="9930" windowHeight="4395"/>
  </bookViews>
  <sheets>
    <sheet name="Sayfa1" sheetId="1" r:id="rId1"/>
  </sheets>
  <definedNames>
    <definedName name="solver_adj" localSheetId="0" hidden="1">Sayfa1!$AD$10:$AD$14,Sayfa1!$Q$11:$U$19,Sayfa1!$AD$18:$AD$22,Sayfa1!$Q$25:$U$29,Sayfa1!$Q$34:$T$38</definedName>
    <definedName name="solver_cvg" localSheetId="0" hidden="1">0.0001</definedName>
    <definedName name="solver_drv" localSheetId="0" hidden="1">1</definedName>
    <definedName name="solver_eng" localSheetId="0" hidden="1">2</definedName>
    <definedName name="solver_est" localSheetId="0" hidden="1">1</definedName>
    <definedName name="solver_itr" localSheetId="0" hidden="1">2147483647</definedName>
    <definedName name="solver_lhs1" localSheetId="0" hidden="1">Sayfa1!$AD$10:$AD$14</definedName>
    <definedName name="solver_lhs10" localSheetId="0" hidden="1">Sayfa1!$Q$34:$T$38</definedName>
    <definedName name="solver_lhs11" localSheetId="0" hidden="1">Sayfa1!$Q$34:$T$38</definedName>
    <definedName name="solver_lhs12" localSheetId="0" hidden="1">Sayfa1!$Q$39</definedName>
    <definedName name="solver_lhs13" localSheetId="0" hidden="1">Sayfa1!$Q$5</definedName>
    <definedName name="solver_lhs14" localSheetId="0" hidden="1">Sayfa1!$Q$6</definedName>
    <definedName name="solver_lhs15" localSheetId="0" hidden="1">Sayfa1!$Q$7</definedName>
    <definedName name="solver_lhs16" localSheetId="0" hidden="1">Sayfa1!$R$3</definedName>
    <definedName name="solver_lhs17" localSheetId="0" hidden="1">Sayfa1!$R$39</definedName>
    <definedName name="solver_lhs18" localSheetId="0" hidden="1">Sayfa1!$R$5</definedName>
    <definedName name="solver_lhs19" localSheetId="0" hidden="1">Sayfa1!$R$6</definedName>
    <definedName name="solver_lhs2" localSheetId="0" hidden="1">Sayfa1!$AD$10:$AD$14</definedName>
    <definedName name="solver_lhs20" localSheetId="0" hidden="1">Sayfa1!$R$7</definedName>
    <definedName name="solver_lhs21" localSheetId="0" hidden="1">Sayfa1!$S$3</definedName>
    <definedName name="solver_lhs22" localSheetId="0" hidden="1">Sayfa1!$S$39</definedName>
    <definedName name="solver_lhs23" localSheetId="0" hidden="1">Sayfa1!$S$5</definedName>
    <definedName name="solver_lhs24" localSheetId="0" hidden="1">Sayfa1!$S$6</definedName>
    <definedName name="solver_lhs25" localSheetId="0" hidden="1">Sayfa1!$S$7</definedName>
    <definedName name="solver_lhs26" localSheetId="0" hidden="1">Sayfa1!$T$3</definedName>
    <definedName name="solver_lhs27" localSheetId="0" hidden="1">Sayfa1!$T$37</definedName>
    <definedName name="solver_lhs28" localSheetId="0" hidden="1">Sayfa1!$T$39</definedName>
    <definedName name="solver_lhs29" localSheetId="0" hidden="1">Sayfa1!$T$5</definedName>
    <definedName name="solver_lhs3" localSheetId="0" hidden="1">Sayfa1!$AD$18:$AD$22</definedName>
    <definedName name="solver_lhs30" localSheetId="0" hidden="1">Sayfa1!$T$6</definedName>
    <definedName name="solver_lhs31" localSheetId="0" hidden="1">Sayfa1!$T$7</definedName>
    <definedName name="solver_lhs32" localSheetId="0" hidden="1">Sayfa1!$U$3</definedName>
    <definedName name="solver_lhs33" localSheetId="0" hidden="1">Sayfa1!$U$34</definedName>
    <definedName name="solver_lhs34" localSheetId="0" hidden="1">Sayfa1!$U$35</definedName>
    <definedName name="solver_lhs35" localSheetId="0" hidden="1">Sayfa1!$U$36</definedName>
    <definedName name="solver_lhs36" localSheetId="0" hidden="1">Sayfa1!$U$37</definedName>
    <definedName name="solver_lhs37" localSheetId="0" hidden="1">Sayfa1!$U$38</definedName>
    <definedName name="solver_lhs38" localSheetId="0" hidden="1">Sayfa1!$U$5</definedName>
    <definedName name="solver_lhs39" localSheetId="0" hidden="1">Sayfa1!$U$6</definedName>
    <definedName name="solver_lhs4" localSheetId="0" hidden="1">Sayfa1!$AD$18:$AD$22</definedName>
    <definedName name="solver_lhs40" localSheetId="0" hidden="1">Sayfa1!$U$7</definedName>
    <definedName name="solver_lhs41" localSheetId="0" hidden="1">Sayfa1!$V$11</definedName>
    <definedName name="solver_lhs42" localSheetId="0" hidden="1">Sayfa1!$V$12</definedName>
    <definedName name="solver_lhs43" localSheetId="0" hidden="1">Sayfa1!$V$13</definedName>
    <definedName name="solver_lhs44" localSheetId="0" hidden="1">Sayfa1!$V$14</definedName>
    <definedName name="solver_lhs45" localSheetId="0" hidden="1">Sayfa1!$V$15</definedName>
    <definedName name="solver_lhs46" localSheetId="0" hidden="1">Sayfa1!$V$16</definedName>
    <definedName name="solver_lhs47" localSheetId="0" hidden="1">Sayfa1!$V$17</definedName>
    <definedName name="solver_lhs48" localSheetId="0" hidden="1">Sayfa1!$V$18</definedName>
    <definedName name="solver_lhs49" localSheetId="0" hidden="1">Sayfa1!$V$19</definedName>
    <definedName name="solver_lhs5" localSheetId="0" hidden="1">Sayfa1!$Q$11:$U$19</definedName>
    <definedName name="solver_lhs50" localSheetId="0" hidden="1">Sayfa1!$V$25</definedName>
    <definedName name="solver_lhs51" localSheetId="0" hidden="1">Sayfa1!$V$26</definedName>
    <definedName name="solver_lhs52" localSheetId="0" hidden="1">Sayfa1!$V$27</definedName>
    <definedName name="solver_lhs53" localSheetId="0" hidden="1">Sayfa1!$V$28</definedName>
    <definedName name="solver_lhs54" localSheetId="0" hidden="1">Sayfa1!$V$29</definedName>
    <definedName name="solver_lhs55" localSheetId="0" hidden="1">Sayfa1!$V$29</definedName>
    <definedName name="solver_lhs56" localSheetId="0" hidden="1">Sayfa1!$V$29</definedName>
    <definedName name="solver_lhs6" localSheetId="0" hidden="1">Sayfa1!$Q$11:$U$19</definedName>
    <definedName name="solver_lhs7" localSheetId="0" hidden="1">Sayfa1!$Q$25:$U$29</definedName>
    <definedName name="solver_lhs8" localSheetId="0" hidden="1">Sayfa1!$Q$25:$U$29</definedName>
    <definedName name="solver_lhs9" localSheetId="0" hidden="1">Sayfa1!$Q$3</definedName>
    <definedName name="solver_mip" localSheetId="0" hidden="1">100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54</definedName>
    <definedName name="solver_nwt" localSheetId="0" hidden="1">1</definedName>
    <definedName name="solver_opt" localSheetId="0" hidden="1">Sayfa1!$N$41</definedName>
    <definedName name="solver_pre" localSheetId="0" hidden="1">0.00000000001</definedName>
    <definedName name="solver_rbv" localSheetId="0" hidden="1">1</definedName>
    <definedName name="solver_rel1" localSheetId="0" hidden="1">1</definedName>
    <definedName name="solver_rel10" localSheetId="0" hidden="1">4</definedName>
    <definedName name="solver_rel11" localSheetId="0" hidden="1">3</definedName>
    <definedName name="solver_rel12" localSheetId="0" hidden="1">3</definedName>
    <definedName name="solver_rel13" localSheetId="0" hidden="1">2</definedName>
    <definedName name="solver_rel14" localSheetId="0" hidden="1">2</definedName>
    <definedName name="solver_rel15" localSheetId="0" hidden="1">2</definedName>
    <definedName name="solver_rel16" localSheetId="0" hidden="1">2</definedName>
    <definedName name="solver_rel17" localSheetId="0" hidden="1">3</definedName>
    <definedName name="solver_rel18" localSheetId="0" hidden="1">2</definedName>
    <definedName name="solver_rel19" localSheetId="0" hidden="1">2</definedName>
    <definedName name="solver_rel2" localSheetId="0" hidden="1">5</definedName>
    <definedName name="solver_rel20" localSheetId="0" hidden="1">2</definedName>
    <definedName name="solver_rel21" localSheetId="0" hidden="1">2</definedName>
    <definedName name="solver_rel22" localSheetId="0" hidden="1">3</definedName>
    <definedName name="solver_rel23" localSheetId="0" hidden="1">2</definedName>
    <definedName name="solver_rel24" localSheetId="0" hidden="1">2</definedName>
    <definedName name="solver_rel25" localSheetId="0" hidden="1">2</definedName>
    <definedName name="solver_rel26" localSheetId="0" hidden="1">2</definedName>
    <definedName name="solver_rel27" localSheetId="0" hidden="1">2</definedName>
    <definedName name="solver_rel28" localSheetId="0" hidden="1">3</definedName>
    <definedName name="solver_rel29" localSheetId="0" hidden="1">2</definedName>
    <definedName name="solver_rel3" localSheetId="0" hidden="1">1</definedName>
    <definedName name="solver_rel30" localSheetId="0" hidden="1">2</definedName>
    <definedName name="solver_rel31" localSheetId="0" hidden="1">2</definedName>
    <definedName name="solver_rel32" localSheetId="0" hidden="1">2</definedName>
    <definedName name="solver_rel33" localSheetId="0" hidden="1">1</definedName>
    <definedName name="solver_rel34" localSheetId="0" hidden="1">1</definedName>
    <definedName name="solver_rel35" localSheetId="0" hidden="1">1</definedName>
    <definedName name="solver_rel36" localSheetId="0" hidden="1">1</definedName>
    <definedName name="solver_rel37" localSheetId="0" hidden="1">1</definedName>
    <definedName name="solver_rel38" localSheetId="0" hidden="1">2</definedName>
    <definedName name="solver_rel39" localSheetId="0" hidden="1">2</definedName>
    <definedName name="solver_rel4" localSheetId="0" hidden="1">5</definedName>
    <definedName name="solver_rel40" localSheetId="0" hidden="1">2</definedName>
    <definedName name="solver_rel41" localSheetId="0" hidden="1">1</definedName>
    <definedName name="solver_rel42" localSheetId="0" hidden="1">1</definedName>
    <definedName name="solver_rel43" localSheetId="0" hidden="1">1</definedName>
    <definedName name="solver_rel44" localSheetId="0" hidden="1">1</definedName>
    <definedName name="solver_rel45" localSheetId="0" hidden="1">1</definedName>
    <definedName name="solver_rel46" localSheetId="0" hidden="1">1</definedName>
    <definedName name="solver_rel47" localSheetId="0" hidden="1">1</definedName>
    <definedName name="solver_rel48" localSheetId="0" hidden="1">1</definedName>
    <definedName name="solver_rel49" localSheetId="0" hidden="1">1</definedName>
    <definedName name="solver_rel5" localSheetId="0" hidden="1">4</definedName>
    <definedName name="solver_rel50" localSheetId="0" hidden="1">1</definedName>
    <definedName name="solver_rel51" localSheetId="0" hidden="1">1</definedName>
    <definedName name="solver_rel52" localSheetId="0" hidden="1">1</definedName>
    <definedName name="solver_rel53" localSheetId="0" hidden="1">1</definedName>
    <definedName name="solver_rel54" localSheetId="0" hidden="1">1</definedName>
    <definedName name="solver_rel55" localSheetId="0" hidden="1">1</definedName>
    <definedName name="solver_rel56" localSheetId="0" hidden="1">1</definedName>
    <definedName name="solver_rel6" localSheetId="0" hidden="1">3</definedName>
    <definedName name="solver_rel7" localSheetId="0" hidden="1">4</definedName>
    <definedName name="solver_rel8" localSheetId="0" hidden="1">3</definedName>
    <definedName name="solver_rel9" localSheetId="0" hidden="1">2</definedName>
    <definedName name="solver_rhs1" localSheetId="0" hidden="1">4</definedName>
    <definedName name="solver_rhs10" localSheetId="0" hidden="1">tamsayı</definedName>
    <definedName name="solver_rhs11" localSheetId="0" hidden="1">0</definedName>
    <definedName name="solver_rhs12" localSheetId="0" hidden="1">460</definedName>
    <definedName name="solver_rhs13" localSheetId="0" hidden="1">0</definedName>
    <definedName name="solver_rhs14" localSheetId="0" hidden="1">0</definedName>
    <definedName name="solver_rhs15" localSheetId="0" hidden="1">0</definedName>
    <definedName name="solver_rhs16" localSheetId="0" hidden="1">0</definedName>
    <definedName name="solver_rhs17" localSheetId="0" hidden="1">330</definedName>
    <definedName name="solver_rhs18" localSheetId="0" hidden="1">0</definedName>
    <definedName name="solver_rhs19" localSheetId="0" hidden="1">0</definedName>
    <definedName name="solver_rhs2" localSheetId="0" hidden="1">ikili düzen</definedName>
    <definedName name="solver_rhs20" localSheetId="0" hidden="1">0</definedName>
    <definedName name="solver_rhs21" localSheetId="0" hidden="1">0</definedName>
    <definedName name="solver_rhs22" localSheetId="0" hidden="1">450</definedName>
    <definedName name="solver_rhs23" localSheetId="0" hidden="1">0</definedName>
    <definedName name="solver_rhs24" localSheetId="0" hidden="1">0</definedName>
    <definedName name="solver_rhs25" localSheetId="0" hidden="1">0</definedName>
    <definedName name="solver_rhs26" localSheetId="0" hidden="1">0</definedName>
    <definedName name="solver_rhs27" localSheetId="0" hidden="1">0</definedName>
    <definedName name="solver_rhs28" localSheetId="0" hidden="1">300</definedName>
    <definedName name="solver_rhs29" localSheetId="0" hidden="1">0</definedName>
    <definedName name="solver_rhs3" localSheetId="0" hidden="1">4</definedName>
    <definedName name="solver_rhs30" localSheetId="0" hidden="1">0</definedName>
    <definedName name="solver_rhs31" localSheetId="0" hidden="1">0</definedName>
    <definedName name="solver_rhs32" localSheetId="0" hidden="1">0</definedName>
    <definedName name="solver_rhs33" localSheetId="0" hidden="1">530*Sayfa1!$AD$18</definedName>
    <definedName name="solver_rhs34" localSheetId="0" hidden="1">590*Sayfa1!$AD$19</definedName>
    <definedName name="solver_rhs35" localSheetId="0" hidden="1">400*Sayfa1!$AD$20</definedName>
    <definedName name="solver_rhs36" localSheetId="0" hidden="1">370*Sayfa1!$AD$21</definedName>
    <definedName name="solver_rhs37" localSheetId="0" hidden="1">580*Sayfa1!$AD$22</definedName>
    <definedName name="solver_rhs38" localSheetId="0" hidden="1">0</definedName>
    <definedName name="solver_rhs39" localSheetId="0" hidden="1">0</definedName>
    <definedName name="solver_rhs4" localSheetId="0" hidden="1">ikili düzen</definedName>
    <definedName name="solver_rhs40" localSheetId="0" hidden="1">0</definedName>
    <definedName name="solver_rhs41" localSheetId="0" hidden="1">1200</definedName>
    <definedName name="solver_rhs42" localSheetId="0" hidden="1">650</definedName>
    <definedName name="solver_rhs43" localSheetId="0" hidden="1">1750</definedName>
    <definedName name="solver_rhs44" localSheetId="0" hidden="1">1350</definedName>
    <definedName name="solver_rhs45" localSheetId="0" hidden="1">730</definedName>
    <definedName name="solver_rhs46" localSheetId="0" hidden="1">2350</definedName>
    <definedName name="solver_rhs47" localSheetId="0" hidden="1">880</definedName>
    <definedName name="solver_rhs48" localSheetId="0" hidden="1">490</definedName>
    <definedName name="solver_rhs49" localSheetId="0" hidden="1">1175</definedName>
    <definedName name="solver_rhs5" localSheetId="0" hidden="1">tamsayı</definedName>
    <definedName name="solver_rhs50" localSheetId="0" hidden="1">400*Sayfa1!$AD$10</definedName>
    <definedName name="solver_rhs51" localSheetId="0" hidden="1">550*Sayfa1!$AD$11</definedName>
    <definedName name="solver_rhs52" localSheetId="0" hidden="1">490*Sayfa1!$AD$12</definedName>
    <definedName name="solver_rhs53" localSheetId="0" hidden="1">300*Sayfa1!$AD$13</definedName>
    <definedName name="solver_rhs54" localSheetId="0" hidden="1">500*Sayfa1!$AD$14</definedName>
    <definedName name="solver_rhs55" localSheetId="0" hidden="1">500*Sayfa1!$AD$14</definedName>
    <definedName name="solver_rhs56" localSheetId="0" hidden="1">500*Sayfa1!$AD$14</definedName>
    <definedName name="solver_rhs6" localSheetId="0" hidden="1">0</definedName>
    <definedName name="solver_rhs7" localSheetId="0" hidden="1">tamsayı</definedName>
    <definedName name="solver_rhs8" localSheetId="0" hidden="1">0</definedName>
    <definedName name="solver_rhs9" localSheetId="0" hidden="1">0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er" localSheetId="0" hidden="1">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1" i="1" l="1"/>
  <c r="AD23" i="1"/>
  <c r="AD15" i="1"/>
  <c r="R39" i="1" l="1"/>
  <c r="Q39" i="1"/>
  <c r="U37" i="1"/>
  <c r="V12" i="1"/>
  <c r="V13" i="1"/>
  <c r="V14" i="1"/>
  <c r="V15" i="1"/>
  <c r="V16" i="1"/>
  <c r="V17" i="1"/>
  <c r="V18" i="1"/>
  <c r="V19" i="1"/>
  <c r="V11" i="1"/>
  <c r="U3" i="1"/>
  <c r="T3" i="1"/>
  <c r="S3" i="1"/>
  <c r="Q3" i="1"/>
  <c r="R3" i="1"/>
  <c r="S39" i="1"/>
  <c r="T39" i="1"/>
  <c r="V26" i="1"/>
  <c r="V27" i="1"/>
  <c r="V28" i="1"/>
  <c r="V29" i="1"/>
  <c r="V25" i="1"/>
  <c r="U35" i="1"/>
  <c r="U36" i="1"/>
  <c r="U38" i="1"/>
  <c r="U34" i="1"/>
  <c r="U7" i="1" l="1"/>
  <c r="U6" i="1"/>
  <c r="T5" i="1"/>
  <c r="T6" i="1"/>
  <c r="T7" i="1"/>
  <c r="S6" i="1"/>
  <c r="S7" i="1"/>
  <c r="Q7" i="1"/>
  <c r="Q6" i="1"/>
  <c r="Q5" i="1"/>
  <c r="R6" i="1"/>
  <c r="R7" i="1"/>
  <c r="U5" i="1"/>
  <c r="R5" i="1"/>
  <c r="S5" i="1"/>
</calcChain>
</file>

<file path=xl/sharedStrings.xml><?xml version="1.0" encoding="utf-8"?>
<sst xmlns="http://schemas.openxmlformats.org/spreadsheetml/2006/main" count="66" uniqueCount="35">
  <si>
    <t>FABRİKALAR</t>
  </si>
  <si>
    <t>KOMPENENTLER</t>
  </si>
  <si>
    <t>TEDARİKÇİLER</t>
  </si>
  <si>
    <t>Cijt</t>
  </si>
  <si>
    <t>NİHAİ ÜRÜN</t>
  </si>
  <si>
    <t>A(2)    Kompenent 1</t>
  </si>
  <si>
    <t>B(1)    Kompenent 2</t>
  </si>
  <si>
    <t>DAĞITIM MERKEZLERİ</t>
  </si>
  <si>
    <t>Cjk</t>
  </si>
  <si>
    <t>Ckl</t>
  </si>
  <si>
    <t>MÜŞTERİLER</t>
  </si>
  <si>
    <t>C(3)    Kompenent 3</t>
  </si>
  <si>
    <t>KAPASİTE</t>
  </si>
  <si>
    <t>SABİT MALİYET</t>
  </si>
  <si>
    <t>MÜŞTERİ</t>
  </si>
  <si>
    <t>TALEP</t>
  </si>
  <si>
    <t>TEDARİKÇİ</t>
  </si>
  <si>
    <t>KOMPONENT</t>
  </si>
  <si>
    <t>Xijt</t>
  </si>
  <si>
    <t>Yjk</t>
  </si>
  <si>
    <t>Zkl</t>
  </si>
  <si>
    <t>AMAÇ FONKSİYONU:</t>
  </si>
  <si>
    <t>DAĞITIM MERKEZİ</t>
  </si>
  <si>
    <t>&lt;=</t>
  </si>
  <si>
    <t>FABRİKALAR(j)</t>
  </si>
  <si>
    <t>KOMPENENTLER(t)</t>
  </si>
  <si>
    <t>TEDARİKÇİLER(i)</t>
  </si>
  <si>
    <t>DAĞITIM MERKEZLERİ(k)</t>
  </si>
  <si>
    <t>MÜŞTERİLER(l)</t>
  </si>
  <si>
    <t>&gt;=</t>
  </si>
  <si>
    <t>=</t>
  </si>
  <si>
    <t>Komponent t, fabrika j için denge kısıtı</t>
  </si>
  <si>
    <t>Dağıtım merkezi k için denge kısıtı</t>
  </si>
  <si>
    <t>Δk</t>
  </si>
  <si>
    <t>Φj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</si>
</sst>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charset val="162"/>
      <scheme val="minor"/>
    </font>
    <font>
      <sz val="11"/>
      <color theme="1"/>
      <name val="Segoe Print"/>
      <charset val="16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0" xfId="0" applyFont="1" applyBorder="1" applyAlignment="1"/>
    <xf numFmtId="0" fontId="0" fillId="0" borderId="2" xfId="0" applyFont="1" applyBorder="1" applyAlignment="1"/>
    <xf numFmtId="0" fontId="0" fillId="0" borderId="2" xfId="0" applyBorder="1"/>
    <xf numFmtId="0" fontId="0" fillId="0" borderId="2" xfId="0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1" xfId="0" applyBorder="1"/>
    <xf numFmtId="0" fontId="0" fillId="0" borderId="1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1" fillId="0" borderId="2" xfId="0" applyFont="1" applyBorder="1"/>
    <xf numFmtId="0" fontId="0" fillId="0" borderId="0" xfId="0" applyBorder="1"/>
    <xf numFmtId="0" fontId="0" fillId="0" borderId="0" xfId="0" applyBorder="1" applyAlignment="1"/>
    <xf numFmtId="0" fontId="0" fillId="0" borderId="26" xfId="0" applyBorder="1" applyAlignment="1">
      <alignment horizontal="center"/>
    </xf>
    <xf numFmtId="0" fontId="0" fillId="0" borderId="3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0" xfId="0" applyBorder="1" applyAlignment="1">
      <alignment horizontal="right" vertical="center"/>
    </xf>
    <xf numFmtId="0" fontId="0" fillId="0" borderId="0" xfId="0" applyBorder="1" applyAlignment="1">
      <alignment horizontal="center" vertical="center" wrapText="1"/>
    </xf>
    <xf numFmtId="0" fontId="0" fillId="3" borderId="17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18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17" xfId="0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0" fillId="0" borderId="18" xfId="0" applyFill="1" applyBorder="1" applyAlignment="1">
      <alignment horizontal="center" vertical="center"/>
    </xf>
    <xf numFmtId="0" fontId="0" fillId="0" borderId="19" xfId="0" applyFill="1" applyBorder="1" applyAlignment="1">
      <alignment horizontal="center" vertical="center"/>
    </xf>
    <xf numFmtId="0" fontId="0" fillId="0" borderId="33" xfId="0" applyFill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" fillId="0" borderId="25" xfId="0" applyFont="1" applyBorder="1" applyAlignment="1">
      <alignment horizontal="left"/>
    </xf>
    <xf numFmtId="0" fontId="0" fillId="0" borderId="29" xfId="0" applyBorder="1" applyAlignment="1">
      <alignment horizontal="left"/>
    </xf>
    <xf numFmtId="0" fontId="0" fillId="2" borderId="0" xfId="0" applyFill="1" applyAlignment="1">
      <alignment horizontal="center"/>
    </xf>
    <xf numFmtId="0" fontId="0" fillId="0" borderId="32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</xdr:colOff>
      <xdr:row>2</xdr:row>
      <xdr:rowOff>9525</xdr:rowOff>
    </xdr:from>
    <xdr:to>
      <xdr:col>2</xdr:col>
      <xdr:colOff>590550</xdr:colOff>
      <xdr:row>2</xdr:row>
      <xdr:rowOff>180975</xdr:rowOff>
    </xdr:to>
    <xdr:cxnSp macro="">
      <xdr:nvCxnSpPr>
        <xdr:cNvPr id="3" name="Düz Ok Bağlayıcısı 2"/>
        <xdr:cNvCxnSpPr/>
      </xdr:nvCxnSpPr>
      <xdr:spPr>
        <a:xfrm flipH="1">
          <a:off x="1562100" y="409575"/>
          <a:ext cx="542925" cy="17145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447675</xdr:colOff>
      <xdr:row>2</xdr:row>
      <xdr:rowOff>9525</xdr:rowOff>
    </xdr:from>
    <xdr:to>
      <xdr:col>3</xdr:col>
      <xdr:colOff>447676</xdr:colOff>
      <xdr:row>3</xdr:row>
      <xdr:rowOff>0</xdr:rowOff>
    </xdr:to>
    <xdr:cxnSp macro="">
      <xdr:nvCxnSpPr>
        <xdr:cNvPr id="5" name="Düz Ok Bağlayıcısı 4"/>
        <xdr:cNvCxnSpPr/>
      </xdr:nvCxnSpPr>
      <xdr:spPr>
        <a:xfrm flipH="1">
          <a:off x="2571750" y="409575"/>
          <a:ext cx="1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19050</xdr:colOff>
      <xdr:row>2</xdr:row>
      <xdr:rowOff>19050</xdr:rowOff>
    </xdr:from>
    <xdr:to>
      <xdr:col>4</xdr:col>
      <xdr:colOff>571500</xdr:colOff>
      <xdr:row>3</xdr:row>
      <xdr:rowOff>0</xdr:rowOff>
    </xdr:to>
    <xdr:cxnSp macro="">
      <xdr:nvCxnSpPr>
        <xdr:cNvPr id="6" name="Düz Ok Bağlayıcısı 5"/>
        <xdr:cNvCxnSpPr/>
      </xdr:nvCxnSpPr>
      <xdr:spPr>
        <a:xfrm>
          <a:off x="3038475" y="419100"/>
          <a:ext cx="552450" cy="18097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G47"/>
  <sheetViews>
    <sheetView tabSelected="1" topLeftCell="N22" workbookViewId="0">
      <selection activeCell="T44" sqref="T44"/>
    </sheetView>
  </sheetViews>
  <sheetFormatPr defaultRowHeight="15" x14ac:dyDescent="0.25"/>
  <cols>
    <col min="2" max="2" width="13.5703125" customWidth="1"/>
    <col min="4" max="4" width="13.42578125" customWidth="1"/>
    <col min="6" max="6" width="13.42578125" customWidth="1"/>
    <col min="7" max="7" width="13.28515625" bestFit="1" customWidth="1"/>
    <col min="8" max="8" width="20" bestFit="1" customWidth="1"/>
    <col min="14" max="14" width="7.7109375" customWidth="1"/>
    <col min="15" max="15" width="15.28515625" bestFit="1" customWidth="1"/>
    <col min="16" max="16" width="22.5703125" bestFit="1" customWidth="1"/>
    <col min="27" max="27" width="20" bestFit="1" customWidth="1"/>
    <col min="28" max="28" width="12.28515625" customWidth="1"/>
    <col min="29" max="29" width="14.28515625" customWidth="1"/>
    <col min="30" max="30" width="12.85546875" customWidth="1"/>
    <col min="31" max="31" width="12.140625" customWidth="1"/>
    <col min="32" max="32" width="13.28515625" customWidth="1"/>
  </cols>
  <sheetData>
    <row r="1" spans="2:33" ht="15.75" thickBot="1" x14ac:dyDescent="0.3"/>
    <row r="2" spans="2:33" ht="15.75" thickBot="1" x14ac:dyDescent="0.3">
      <c r="D2" s="22" t="s">
        <v>4</v>
      </c>
      <c r="E2" s="21"/>
      <c r="P2" s="87" t="s">
        <v>32</v>
      </c>
    </row>
    <row r="3" spans="2:33" ht="15.75" thickBot="1" x14ac:dyDescent="0.3">
      <c r="P3" s="87"/>
      <c r="Q3">
        <f>SUM(Q25:Q29)-SUM(Q34:T34)</f>
        <v>0</v>
      </c>
      <c r="R3">
        <f>SUM(R25:R29)-SUM(Q35:T35)</f>
        <v>0</v>
      </c>
      <c r="S3">
        <f>SUM(S25:S29)-SUM(Q36:T36)</f>
        <v>0</v>
      </c>
      <c r="T3">
        <f>SUM(T25:T29)-SUM(Q37:T37)</f>
        <v>0</v>
      </c>
      <c r="U3">
        <f>SUM(U25:U29)-SUM(Q38:T38)</f>
        <v>0</v>
      </c>
      <c r="V3" s="26" t="s">
        <v>30</v>
      </c>
      <c r="W3" s="2">
        <v>0</v>
      </c>
    </row>
    <row r="4" spans="2:33" ht="30.75" thickBot="1" x14ac:dyDescent="0.3">
      <c r="B4" s="24" t="s">
        <v>5</v>
      </c>
      <c r="D4" s="24" t="s">
        <v>6</v>
      </c>
      <c r="F4" s="24" t="s">
        <v>11</v>
      </c>
      <c r="AA4" s="32"/>
      <c r="AB4" s="32"/>
      <c r="AC4" s="32"/>
      <c r="AD4" s="32"/>
      <c r="AE4" s="32"/>
      <c r="AF4" s="32"/>
      <c r="AG4" s="32"/>
    </row>
    <row r="5" spans="2:33" x14ac:dyDescent="0.25">
      <c r="B5" s="53"/>
      <c r="D5" s="53"/>
      <c r="F5" s="53"/>
      <c r="P5" s="86" t="s">
        <v>31</v>
      </c>
      <c r="Q5" s="28">
        <f>Q11+Q14+Q17-2*V25</f>
        <v>0</v>
      </c>
      <c r="R5" s="28">
        <f>R11+R14+R17-2*V26</f>
        <v>0</v>
      </c>
      <c r="S5" s="28">
        <f>S11+S14+S17-2*V27</f>
        <v>0</v>
      </c>
      <c r="T5" s="28">
        <f>T11+T14+T17-2*V28</f>
        <v>0</v>
      </c>
      <c r="U5" s="28">
        <f>U11+U14+U17-2*V29</f>
        <v>0</v>
      </c>
      <c r="V5" s="26" t="s">
        <v>30</v>
      </c>
      <c r="W5" s="25">
        <v>0</v>
      </c>
      <c r="X5" s="32"/>
      <c r="Y5" s="32"/>
      <c r="AA5" s="32"/>
      <c r="AB5" s="27"/>
      <c r="AC5" s="27"/>
      <c r="AD5" s="26"/>
      <c r="AE5" s="27"/>
      <c r="AF5" s="27"/>
      <c r="AG5" s="32"/>
    </row>
    <row r="6" spans="2:33" x14ac:dyDescent="0.25">
      <c r="P6" s="86"/>
      <c r="Q6" s="28">
        <f>Q12+Q15+Q18-1*V25</f>
        <v>0</v>
      </c>
      <c r="R6" s="28">
        <f>R12+R15+R18-1*V26</f>
        <v>0</v>
      </c>
      <c r="S6" s="28">
        <f>S12+S15+S18-1*V27</f>
        <v>0</v>
      </c>
      <c r="T6" s="28">
        <f>T12+T15+T18-1*V28</f>
        <v>0</v>
      </c>
      <c r="U6" s="28">
        <f>U12+U15+U18-1*V29</f>
        <v>0</v>
      </c>
      <c r="V6" s="26" t="s">
        <v>30</v>
      </c>
      <c r="W6" s="25">
        <v>0</v>
      </c>
      <c r="X6" s="32"/>
      <c r="Y6" s="32"/>
      <c r="AA6" s="32"/>
      <c r="AB6" s="25"/>
      <c r="AC6" s="25"/>
      <c r="AD6" s="25"/>
      <c r="AE6" s="25"/>
      <c r="AF6" s="25"/>
      <c r="AG6" s="32"/>
    </row>
    <row r="7" spans="2:33" x14ac:dyDescent="0.25">
      <c r="P7" s="86"/>
      <c r="Q7" s="28">
        <f>Q13+Q16+Q19-3*V25</f>
        <v>0</v>
      </c>
      <c r="R7" s="28">
        <f>R13+R16+R19-3*V26</f>
        <v>0</v>
      </c>
      <c r="S7" s="28">
        <f>S13+S16+S19-3*V27</f>
        <v>0</v>
      </c>
      <c r="T7" s="28">
        <f>T13+T16+T19-3*V28</f>
        <v>0</v>
      </c>
      <c r="U7" s="28">
        <f>U13+U16+U19-3*V29</f>
        <v>0</v>
      </c>
      <c r="V7" s="26" t="s">
        <v>30</v>
      </c>
      <c r="W7" s="25">
        <v>0</v>
      </c>
      <c r="X7" s="32"/>
      <c r="Y7" s="32"/>
      <c r="AA7" s="32"/>
      <c r="AB7" s="25"/>
      <c r="AC7" s="25"/>
      <c r="AD7" s="25"/>
      <c r="AE7" s="25"/>
      <c r="AF7" s="25"/>
      <c r="AG7" s="32"/>
    </row>
    <row r="8" spans="2:33" ht="15.75" thickBot="1" x14ac:dyDescent="0.3">
      <c r="AA8" s="33"/>
      <c r="AB8" s="32"/>
      <c r="AC8" s="32"/>
      <c r="AD8" s="32"/>
      <c r="AE8" s="32"/>
      <c r="AF8" s="32"/>
      <c r="AG8" s="32"/>
    </row>
    <row r="9" spans="2:33" ht="24" thickBot="1" x14ac:dyDescent="0.65">
      <c r="G9" s="74" t="s">
        <v>3</v>
      </c>
      <c r="H9" s="75"/>
      <c r="I9" s="83" t="s">
        <v>0</v>
      </c>
      <c r="J9" s="84"/>
      <c r="K9" s="84"/>
      <c r="L9" s="84"/>
      <c r="M9" s="85"/>
      <c r="N9" s="25"/>
      <c r="O9" s="74" t="s">
        <v>18</v>
      </c>
      <c r="P9" s="75"/>
      <c r="Q9" s="83" t="s">
        <v>24</v>
      </c>
      <c r="R9" s="84"/>
      <c r="S9" s="84"/>
      <c r="T9" s="84"/>
      <c r="U9" s="85"/>
      <c r="V9" s="25"/>
      <c r="W9" s="25"/>
      <c r="X9" s="25"/>
      <c r="Y9" s="25"/>
      <c r="Z9" s="25"/>
      <c r="AA9" s="39" t="s">
        <v>0</v>
      </c>
      <c r="AB9" s="39" t="s">
        <v>12</v>
      </c>
      <c r="AC9" s="34" t="s">
        <v>13</v>
      </c>
      <c r="AD9" s="67" t="s">
        <v>34</v>
      </c>
      <c r="AE9" s="33"/>
      <c r="AF9" s="33"/>
      <c r="AG9" s="32"/>
    </row>
    <row r="10" spans="2:33" ht="15.75" thickBot="1" x14ac:dyDescent="0.3">
      <c r="G10" s="19" t="s">
        <v>2</v>
      </c>
      <c r="H10" s="19" t="s">
        <v>1</v>
      </c>
      <c r="I10" s="20">
        <v>1</v>
      </c>
      <c r="J10" s="19">
        <v>2</v>
      </c>
      <c r="K10" s="19">
        <v>3</v>
      </c>
      <c r="L10" s="19">
        <v>4</v>
      </c>
      <c r="M10" s="19">
        <v>5</v>
      </c>
      <c r="N10" s="26"/>
      <c r="O10" s="19" t="s">
        <v>26</v>
      </c>
      <c r="P10" s="19" t="s">
        <v>25</v>
      </c>
      <c r="Q10" s="20">
        <v>1</v>
      </c>
      <c r="R10" s="19">
        <v>2</v>
      </c>
      <c r="S10" s="19">
        <v>3</v>
      </c>
      <c r="T10" s="19">
        <v>4</v>
      </c>
      <c r="U10" s="19">
        <v>5</v>
      </c>
      <c r="V10" s="26"/>
      <c r="W10" s="26"/>
      <c r="X10" s="26"/>
      <c r="Y10" s="26"/>
      <c r="Z10" s="26"/>
      <c r="AA10" s="30">
        <v>1</v>
      </c>
      <c r="AB10" s="10">
        <v>400</v>
      </c>
      <c r="AC10" s="64">
        <v>1800</v>
      </c>
      <c r="AD10" s="16">
        <v>1</v>
      </c>
      <c r="AE10" s="26"/>
      <c r="AF10" s="26"/>
      <c r="AG10" s="32"/>
    </row>
    <row r="11" spans="2:33" ht="15.75" thickBot="1" x14ac:dyDescent="0.3">
      <c r="G11" s="71">
        <v>1</v>
      </c>
      <c r="H11" s="13">
        <v>1</v>
      </c>
      <c r="I11" s="10">
        <v>5</v>
      </c>
      <c r="J11" s="8">
        <v>6</v>
      </c>
      <c r="K11" s="8">
        <v>5</v>
      </c>
      <c r="L11" s="8">
        <v>7</v>
      </c>
      <c r="M11" s="9">
        <v>4</v>
      </c>
      <c r="N11" s="26"/>
      <c r="O11" s="71">
        <v>1</v>
      </c>
      <c r="P11" s="13">
        <v>1</v>
      </c>
      <c r="Q11" s="54">
        <v>0</v>
      </c>
      <c r="R11" s="55">
        <v>0</v>
      </c>
      <c r="S11" s="8">
        <v>100</v>
      </c>
      <c r="T11" s="8">
        <v>0</v>
      </c>
      <c r="U11" s="9">
        <v>1000</v>
      </c>
      <c r="V11" s="52">
        <f>SUM(Q11:U11)</f>
        <v>1100</v>
      </c>
      <c r="W11" s="26" t="s">
        <v>23</v>
      </c>
      <c r="X11" s="26">
        <v>1200</v>
      </c>
      <c r="Y11" s="26"/>
      <c r="Z11" s="26"/>
      <c r="AA11" s="30">
        <v>2</v>
      </c>
      <c r="AB11" s="11">
        <v>550</v>
      </c>
      <c r="AC11" s="65">
        <v>900</v>
      </c>
      <c r="AD11" s="17">
        <v>1</v>
      </c>
      <c r="AE11" s="26"/>
      <c r="AF11" s="26"/>
      <c r="AG11" s="32"/>
    </row>
    <row r="12" spans="2:33" ht="15.75" thickBot="1" x14ac:dyDescent="0.3">
      <c r="G12" s="72"/>
      <c r="H12" s="14">
        <v>2</v>
      </c>
      <c r="I12" s="11">
        <v>4</v>
      </c>
      <c r="J12" s="3">
        <v>6</v>
      </c>
      <c r="K12" s="3">
        <v>3</v>
      </c>
      <c r="L12" s="3">
        <v>6</v>
      </c>
      <c r="M12" s="5">
        <v>5</v>
      </c>
      <c r="N12" s="26"/>
      <c r="O12" s="72"/>
      <c r="P12" s="14">
        <v>2</v>
      </c>
      <c r="Q12" s="11">
        <v>150</v>
      </c>
      <c r="R12" s="3">
        <v>0</v>
      </c>
      <c r="S12" s="3">
        <v>490</v>
      </c>
      <c r="T12" s="3">
        <v>0</v>
      </c>
      <c r="U12" s="5">
        <v>10</v>
      </c>
      <c r="V12" s="52">
        <f t="shared" ref="V12:V19" si="0">SUM(Q12:U12)</f>
        <v>650</v>
      </c>
      <c r="W12" s="26" t="s">
        <v>23</v>
      </c>
      <c r="X12" s="26">
        <v>650</v>
      </c>
      <c r="Y12" s="26"/>
      <c r="Z12" s="26"/>
      <c r="AA12" s="30">
        <v>3</v>
      </c>
      <c r="AB12" s="11">
        <v>490</v>
      </c>
      <c r="AC12" s="65">
        <v>2100</v>
      </c>
      <c r="AD12" s="17">
        <v>1</v>
      </c>
      <c r="AE12" s="26"/>
      <c r="AF12" s="26"/>
      <c r="AG12" s="32"/>
    </row>
    <row r="13" spans="2:33" ht="15.75" thickBot="1" x14ac:dyDescent="0.3">
      <c r="G13" s="73"/>
      <c r="H13" s="15">
        <v>3</v>
      </c>
      <c r="I13" s="11">
        <v>5</v>
      </c>
      <c r="J13" s="3">
        <v>7</v>
      </c>
      <c r="K13" s="3">
        <v>4</v>
      </c>
      <c r="L13" s="3">
        <v>7</v>
      </c>
      <c r="M13" s="5">
        <v>7</v>
      </c>
      <c r="N13" s="26"/>
      <c r="O13" s="73"/>
      <c r="P13" s="15">
        <v>3</v>
      </c>
      <c r="Q13" s="11">
        <v>0</v>
      </c>
      <c r="R13" s="3">
        <v>0</v>
      </c>
      <c r="S13" s="3">
        <v>1470</v>
      </c>
      <c r="T13" s="3">
        <v>0</v>
      </c>
      <c r="U13" s="5">
        <v>0</v>
      </c>
      <c r="V13" s="52">
        <f t="shared" si="0"/>
        <v>1470</v>
      </c>
      <c r="W13" s="26" t="s">
        <v>23</v>
      </c>
      <c r="X13" s="26">
        <v>1750</v>
      </c>
      <c r="Y13" s="26"/>
      <c r="Z13" s="26"/>
      <c r="AA13" s="30">
        <v>4</v>
      </c>
      <c r="AB13" s="11">
        <v>300</v>
      </c>
      <c r="AC13" s="65">
        <v>1100</v>
      </c>
      <c r="AD13" s="17">
        <v>0</v>
      </c>
      <c r="AE13" s="26"/>
      <c r="AF13" s="26"/>
      <c r="AG13" s="32"/>
    </row>
    <row r="14" spans="2:33" ht="15.75" thickBot="1" x14ac:dyDescent="0.3">
      <c r="G14" s="71">
        <v>2</v>
      </c>
      <c r="H14" s="13">
        <v>1</v>
      </c>
      <c r="I14" s="11">
        <v>3</v>
      </c>
      <c r="J14" s="3">
        <v>5</v>
      </c>
      <c r="K14" s="3">
        <v>6</v>
      </c>
      <c r="L14" s="3">
        <v>8</v>
      </c>
      <c r="M14" s="5">
        <v>5</v>
      </c>
      <c r="N14" s="26"/>
      <c r="O14" s="71">
        <v>2</v>
      </c>
      <c r="P14" s="13">
        <v>1</v>
      </c>
      <c r="Q14" s="56">
        <v>800</v>
      </c>
      <c r="R14" s="57">
        <v>300</v>
      </c>
      <c r="S14" s="3">
        <v>0</v>
      </c>
      <c r="T14" s="3">
        <v>0</v>
      </c>
      <c r="U14" s="5">
        <v>0</v>
      </c>
      <c r="V14" s="52">
        <f t="shared" si="0"/>
        <v>1100</v>
      </c>
      <c r="W14" s="26" t="s">
        <v>23</v>
      </c>
      <c r="X14" s="26">
        <v>1350</v>
      </c>
      <c r="Y14" s="26"/>
      <c r="Z14" s="26"/>
      <c r="AA14" s="30">
        <v>5</v>
      </c>
      <c r="AB14" s="12">
        <v>500</v>
      </c>
      <c r="AC14" s="66">
        <v>900</v>
      </c>
      <c r="AD14" s="18">
        <v>1</v>
      </c>
      <c r="AE14" s="26"/>
      <c r="AF14" s="26"/>
      <c r="AG14" s="32"/>
    </row>
    <row r="15" spans="2:33" x14ac:dyDescent="0.25">
      <c r="G15" s="72"/>
      <c r="H15" s="14">
        <v>2</v>
      </c>
      <c r="I15" s="11">
        <v>6</v>
      </c>
      <c r="J15" s="3">
        <v>7</v>
      </c>
      <c r="K15" s="3">
        <v>5</v>
      </c>
      <c r="L15" s="3">
        <v>6</v>
      </c>
      <c r="M15" s="5">
        <v>8</v>
      </c>
      <c r="N15" s="26"/>
      <c r="O15" s="72"/>
      <c r="P15" s="14">
        <v>2</v>
      </c>
      <c r="Q15" s="11">
        <v>250</v>
      </c>
      <c r="R15" s="3">
        <v>150</v>
      </c>
      <c r="S15" s="3">
        <v>0</v>
      </c>
      <c r="T15" s="3">
        <v>0</v>
      </c>
      <c r="U15" s="5">
        <v>0</v>
      </c>
      <c r="V15" s="52">
        <f t="shared" si="0"/>
        <v>400</v>
      </c>
      <c r="W15" s="26" t="s">
        <v>23</v>
      </c>
      <c r="X15" s="26">
        <v>730</v>
      </c>
      <c r="Y15" s="26"/>
      <c r="Z15" s="26"/>
      <c r="AA15" s="27"/>
      <c r="AB15" s="26"/>
      <c r="AC15" s="26"/>
      <c r="AD15" s="26">
        <f>SUM(AD10:AD14)</f>
        <v>4</v>
      </c>
      <c r="AE15" s="26"/>
      <c r="AF15" s="26"/>
      <c r="AG15" s="32"/>
    </row>
    <row r="16" spans="2:33" ht="15.75" thickBot="1" x14ac:dyDescent="0.3">
      <c r="G16" s="73"/>
      <c r="H16" s="15">
        <v>3</v>
      </c>
      <c r="I16" s="11">
        <v>5</v>
      </c>
      <c r="J16" s="3">
        <v>4</v>
      </c>
      <c r="K16" s="3">
        <v>5</v>
      </c>
      <c r="L16" s="3">
        <v>4</v>
      </c>
      <c r="M16" s="5">
        <v>5</v>
      </c>
      <c r="N16" s="26"/>
      <c r="O16" s="73"/>
      <c r="P16" s="15">
        <v>3</v>
      </c>
      <c r="Q16" s="11">
        <v>25</v>
      </c>
      <c r="R16" s="3">
        <v>450</v>
      </c>
      <c r="S16" s="3">
        <v>0</v>
      </c>
      <c r="T16" s="3">
        <v>0</v>
      </c>
      <c r="U16" s="5">
        <v>1500</v>
      </c>
      <c r="V16" s="52">
        <f t="shared" si="0"/>
        <v>1975</v>
      </c>
      <c r="W16" s="26" t="s">
        <v>23</v>
      </c>
      <c r="X16" s="26">
        <v>2350</v>
      </c>
      <c r="Y16" s="26"/>
      <c r="Z16" s="26"/>
      <c r="AA16" s="32"/>
      <c r="AB16" s="32"/>
      <c r="AC16" s="32"/>
      <c r="AD16" s="32"/>
      <c r="AE16" s="32"/>
      <c r="AF16" s="32"/>
      <c r="AG16" s="32"/>
    </row>
    <row r="17" spans="7:33" ht="24" thickBot="1" x14ac:dyDescent="0.3">
      <c r="G17" s="68">
        <v>3</v>
      </c>
      <c r="H17" s="16">
        <v>1</v>
      </c>
      <c r="I17" s="11">
        <v>8</v>
      </c>
      <c r="J17" s="3">
        <v>6</v>
      </c>
      <c r="K17" s="3">
        <v>3</v>
      </c>
      <c r="L17" s="3">
        <v>5</v>
      </c>
      <c r="M17" s="5">
        <v>7</v>
      </c>
      <c r="N17" s="26"/>
      <c r="O17" s="68">
        <v>3</v>
      </c>
      <c r="P17" s="16">
        <v>1</v>
      </c>
      <c r="Q17" s="56">
        <v>0</v>
      </c>
      <c r="R17" s="29">
        <v>0</v>
      </c>
      <c r="S17" s="3">
        <v>880</v>
      </c>
      <c r="T17" s="3">
        <v>0</v>
      </c>
      <c r="U17" s="5">
        <v>0</v>
      </c>
      <c r="V17" s="52">
        <f t="shared" si="0"/>
        <v>880</v>
      </c>
      <c r="W17" s="26" t="s">
        <v>23</v>
      </c>
      <c r="X17" s="26">
        <v>880</v>
      </c>
      <c r="Y17" s="26"/>
      <c r="Z17" s="26"/>
      <c r="AA17" s="39" t="s">
        <v>22</v>
      </c>
      <c r="AB17" s="39" t="s">
        <v>12</v>
      </c>
      <c r="AC17" s="39" t="s">
        <v>13</v>
      </c>
      <c r="AD17" s="67" t="s">
        <v>33</v>
      </c>
      <c r="AG17" s="32"/>
    </row>
    <row r="18" spans="7:33" ht="15.75" thickBot="1" x14ac:dyDescent="0.3">
      <c r="G18" s="69"/>
      <c r="H18" s="14">
        <v>2</v>
      </c>
      <c r="I18" s="11">
        <v>7</v>
      </c>
      <c r="J18" s="3">
        <v>5</v>
      </c>
      <c r="K18" s="3">
        <v>3</v>
      </c>
      <c r="L18" s="3">
        <v>7</v>
      </c>
      <c r="M18" s="5">
        <v>4</v>
      </c>
      <c r="N18" s="26"/>
      <c r="O18" s="69"/>
      <c r="P18" s="14">
        <v>2</v>
      </c>
      <c r="Q18" s="11">
        <v>0</v>
      </c>
      <c r="R18" s="3">
        <v>0</v>
      </c>
      <c r="S18" s="3">
        <v>0</v>
      </c>
      <c r="T18" s="3">
        <v>0</v>
      </c>
      <c r="U18" s="5">
        <v>490</v>
      </c>
      <c r="V18" s="52">
        <f t="shared" si="0"/>
        <v>490</v>
      </c>
      <c r="W18" s="26" t="s">
        <v>23</v>
      </c>
      <c r="X18" s="26">
        <v>490</v>
      </c>
      <c r="Y18" s="26"/>
      <c r="Z18" s="26"/>
      <c r="AA18" s="30">
        <v>1</v>
      </c>
      <c r="AB18" s="10">
        <v>530</v>
      </c>
      <c r="AC18" s="9">
        <v>1000</v>
      </c>
      <c r="AD18" s="16">
        <v>1</v>
      </c>
      <c r="AG18" s="32"/>
    </row>
    <row r="19" spans="7:33" ht="15.75" thickBot="1" x14ac:dyDescent="0.3">
      <c r="G19" s="70"/>
      <c r="H19" s="15">
        <v>3</v>
      </c>
      <c r="I19" s="12">
        <v>4</v>
      </c>
      <c r="J19" s="6">
        <v>6</v>
      </c>
      <c r="K19" s="6">
        <v>3</v>
      </c>
      <c r="L19" s="6">
        <v>4</v>
      </c>
      <c r="M19" s="7">
        <v>6</v>
      </c>
      <c r="N19" s="26"/>
      <c r="O19" s="70"/>
      <c r="P19" s="15">
        <v>3</v>
      </c>
      <c r="Q19" s="12">
        <v>1175</v>
      </c>
      <c r="R19" s="6">
        <v>0</v>
      </c>
      <c r="S19" s="6">
        <v>0</v>
      </c>
      <c r="T19" s="6">
        <v>0</v>
      </c>
      <c r="U19" s="7">
        <v>0</v>
      </c>
      <c r="V19" s="52">
        <f t="shared" si="0"/>
        <v>1175</v>
      </c>
      <c r="W19" s="26" t="s">
        <v>23</v>
      </c>
      <c r="X19" s="26">
        <v>1175</v>
      </c>
      <c r="Y19" s="26"/>
      <c r="Z19" s="26"/>
      <c r="AA19" s="30">
        <v>2</v>
      </c>
      <c r="AB19" s="11">
        <v>590</v>
      </c>
      <c r="AC19" s="5">
        <v>900</v>
      </c>
      <c r="AD19" s="17">
        <v>1</v>
      </c>
    </row>
    <row r="20" spans="7:33" ht="15.75" thickBot="1" x14ac:dyDescent="0.3">
      <c r="AA20" s="30">
        <v>3</v>
      </c>
      <c r="AB20" s="11">
        <v>400</v>
      </c>
      <c r="AC20" s="5">
        <v>1600</v>
      </c>
      <c r="AD20" s="17">
        <v>1</v>
      </c>
    </row>
    <row r="21" spans="7:33" ht="15.75" thickBot="1" x14ac:dyDescent="0.3">
      <c r="AA21" s="30">
        <v>4</v>
      </c>
      <c r="AB21" s="11">
        <v>370</v>
      </c>
      <c r="AC21" s="5">
        <v>1500</v>
      </c>
      <c r="AD21" s="17">
        <v>0</v>
      </c>
    </row>
    <row r="22" spans="7:33" ht="15.75" thickBot="1" x14ac:dyDescent="0.3">
      <c r="AA22" s="30">
        <v>5</v>
      </c>
      <c r="AB22" s="12">
        <v>580</v>
      </c>
      <c r="AC22" s="7">
        <v>1400</v>
      </c>
      <c r="AD22" s="18">
        <v>1</v>
      </c>
    </row>
    <row r="23" spans="7:33" ht="24" thickBot="1" x14ac:dyDescent="0.65">
      <c r="H23" s="31" t="s">
        <v>8</v>
      </c>
      <c r="I23" s="77" t="s">
        <v>7</v>
      </c>
      <c r="J23" s="78"/>
      <c r="K23" s="78"/>
      <c r="L23" s="78"/>
      <c r="M23" s="79"/>
      <c r="N23" s="25"/>
      <c r="O23" s="25"/>
      <c r="P23" s="31" t="s">
        <v>19</v>
      </c>
      <c r="Q23" s="77" t="s">
        <v>27</v>
      </c>
      <c r="R23" s="78"/>
      <c r="S23" s="78"/>
      <c r="T23" s="78"/>
      <c r="U23" s="79"/>
      <c r="V23" s="25"/>
      <c r="W23" s="25"/>
      <c r="X23" s="25"/>
      <c r="Y23" s="25"/>
      <c r="AA23" s="27"/>
      <c r="AB23" s="26"/>
      <c r="AC23" s="26"/>
      <c r="AD23">
        <f>SUM(AD18:AD22)</f>
        <v>4</v>
      </c>
    </row>
    <row r="24" spans="7:33" ht="15.75" thickBot="1" x14ac:dyDescent="0.3">
      <c r="H24" s="34" t="s">
        <v>0</v>
      </c>
      <c r="I24" s="19">
        <v>1</v>
      </c>
      <c r="J24" s="19">
        <v>2</v>
      </c>
      <c r="K24" s="19">
        <v>3</v>
      </c>
      <c r="L24" s="19">
        <v>4</v>
      </c>
      <c r="M24" s="19">
        <v>5</v>
      </c>
      <c r="N24" s="26"/>
      <c r="O24" s="26"/>
      <c r="P24" s="34" t="s">
        <v>24</v>
      </c>
      <c r="Q24" s="19">
        <v>1</v>
      </c>
      <c r="R24" s="19">
        <v>2</v>
      </c>
      <c r="S24" s="19">
        <v>3</v>
      </c>
      <c r="T24" s="19">
        <v>4</v>
      </c>
      <c r="U24" s="19">
        <v>5</v>
      </c>
      <c r="V24" s="26"/>
      <c r="W24" s="26"/>
      <c r="X24" s="26"/>
      <c r="Y24" s="26"/>
    </row>
    <row r="25" spans="7:33" ht="15.75" thickBot="1" x14ac:dyDescent="0.3">
      <c r="H25" s="30">
        <v>1</v>
      </c>
      <c r="I25" s="10">
        <v>5</v>
      </c>
      <c r="J25" s="8">
        <v>8</v>
      </c>
      <c r="K25" s="8">
        <v>5</v>
      </c>
      <c r="L25" s="8">
        <v>8</v>
      </c>
      <c r="M25" s="9">
        <v>5</v>
      </c>
      <c r="N25" s="26"/>
      <c r="O25" s="26"/>
      <c r="P25" s="30">
        <v>1</v>
      </c>
      <c r="Q25" s="58">
        <v>400</v>
      </c>
      <c r="R25" s="59">
        <v>0</v>
      </c>
      <c r="S25" s="59">
        <v>0</v>
      </c>
      <c r="T25" s="59">
        <v>0</v>
      </c>
      <c r="U25" s="60">
        <v>0</v>
      </c>
      <c r="V25" s="52">
        <f>SUM(Q25:U25)</f>
        <v>400</v>
      </c>
      <c r="W25" s="26" t="s">
        <v>23</v>
      </c>
      <c r="X25" s="26">
        <v>400</v>
      </c>
      <c r="Y25" s="26"/>
      <c r="AA25" s="41" t="s">
        <v>14</v>
      </c>
      <c r="AB25" s="40" t="s">
        <v>15</v>
      </c>
    </row>
    <row r="26" spans="7:33" ht="15.75" thickBot="1" x14ac:dyDescent="0.3">
      <c r="H26" s="30">
        <v>2</v>
      </c>
      <c r="I26" s="11">
        <v>8</v>
      </c>
      <c r="J26" s="3">
        <v>7</v>
      </c>
      <c r="K26" s="3">
        <v>8</v>
      </c>
      <c r="L26" s="3">
        <v>6</v>
      </c>
      <c r="M26" s="5">
        <v>8</v>
      </c>
      <c r="N26" s="26"/>
      <c r="O26" s="26"/>
      <c r="P26" s="30">
        <v>2</v>
      </c>
      <c r="Q26" s="61">
        <v>0</v>
      </c>
      <c r="R26" s="3">
        <v>150</v>
      </c>
      <c r="S26" s="3">
        <v>0</v>
      </c>
      <c r="T26" s="3">
        <v>0</v>
      </c>
      <c r="U26" s="5">
        <v>0</v>
      </c>
      <c r="V26" s="52">
        <f t="shared" ref="V26:V29" si="1">SUM(Q26:U26)</f>
        <v>150</v>
      </c>
      <c r="W26" s="26" t="s">
        <v>23</v>
      </c>
      <c r="X26" s="26">
        <v>550</v>
      </c>
      <c r="Y26" s="26"/>
      <c r="AA26" s="30">
        <v>1</v>
      </c>
      <c r="AB26" s="38">
        <v>460</v>
      </c>
    </row>
    <row r="27" spans="7:33" ht="15.75" thickBot="1" x14ac:dyDescent="0.3">
      <c r="H27" s="30">
        <v>3</v>
      </c>
      <c r="I27" s="11">
        <v>4</v>
      </c>
      <c r="J27" s="3">
        <v>7</v>
      </c>
      <c r="K27" s="3">
        <v>4</v>
      </c>
      <c r="L27" s="3">
        <v>5</v>
      </c>
      <c r="M27" s="5">
        <v>4</v>
      </c>
      <c r="N27" s="26"/>
      <c r="O27" s="26"/>
      <c r="P27" s="30">
        <v>3</v>
      </c>
      <c r="Q27" s="61">
        <v>90</v>
      </c>
      <c r="R27" s="3">
        <v>0</v>
      </c>
      <c r="S27" s="3">
        <v>400</v>
      </c>
      <c r="T27" s="3">
        <v>0</v>
      </c>
      <c r="U27" s="5">
        <v>0</v>
      </c>
      <c r="V27" s="52">
        <f t="shared" si="1"/>
        <v>490</v>
      </c>
      <c r="W27" s="26" t="s">
        <v>23</v>
      </c>
      <c r="X27" s="26">
        <v>490</v>
      </c>
      <c r="Y27" s="26"/>
      <c r="AA27" s="30">
        <v>2</v>
      </c>
      <c r="AB27" s="45">
        <v>330</v>
      </c>
    </row>
    <row r="28" spans="7:33" ht="15.75" thickBot="1" x14ac:dyDescent="0.3">
      <c r="H28" s="30">
        <v>4</v>
      </c>
      <c r="I28" s="11">
        <v>3</v>
      </c>
      <c r="J28" s="3">
        <v>5</v>
      </c>
      <c r="K28" s="3">
        <v>3</v>
      </c>
      <c r="L28" s="3">
        <v>5</v>
      </c>
      <c r="M28" s="5">
        <v>3</v>
      </c>
      <c r="N28" s="26"/>
      <c r="O28" s="26"/>
      <c r="P28" s="30">
        <v>4</v>
      </c>
      <c r="Q28" s="61">
        <v>0</v>
      </c>
      <c r="R28" s="3">
        <v>0</v>
      </c>
      <c r="S28" s="3">
        <v>0</v>
      </c>
      <c r="T28" s="3">
        <v>0</v>
      </c>
      <c r="U28" s="5">
        <v>0</v>
      </c>
      <c r="V28" s="52">
        <f t="shared" si="1"/>
        <v>0</v>
      </c>
      <c r="W28" s="26" t="s">
        <v>23</v>
      </c>
      <c r="X28" s="26">
        <v>300</v>
      </c>
      <c r="Y28" s="26"/>
      <c r="AA28" s="30">
        <v>3</v>
      </c>
      <c r="AB28" s="45">
        <v>450</v>
      </c>
    </row>
    <row r="29" spans="7:33" ht="15.75" thickBot="1" x14ac:dyDescent="0.3">
      <c r="H29" s="30">
        <v>5</v>
      </c>
      <c r="I29" s="12">
        <v>5</v>
      </c>
      <c r="J29" s="6">
        <v>6</v>
      </c>
      <c r="K29" s="6">
        <v>6</v>
      </c>
      <c r="L29" s="6">
        <v>8</v>
      </c>
      <c r="M29" s="7">
        <v>3</v>
      </c>
      <c r="N29" s="26"/>
      <c r="O29" s="26"/>
      <c r="P29" s="30">
        <v>5</v>
      </c>
      <c r="Q29" s="62">
        <v>0</v>
      </c>
      <c r="R29" s="6">
        <v>0</v>
      </c>
      <c r="S29" s="6">
        <v>0</v>
      </c>
      <c r="T29" s="6">
        <v>0</v>
      </c>
      <c r="U29" s="7">
        <v>500</v>
      </c>
      <c r="V29" s="52">
        <f t="shared" si="1"/>
        <v>500</v>
      </c>
      <c r="W29" s="26" t="s">
        <v>23</v>
      </c>
      <c r="X29" s="26">
        <v>500</v>
      </c>
      <c r="Y29" s="26"/>
      <c r="AA29" s="30">
        <v>4</v>
      </c>
      <c r="AB29" s="51">
        <v>300</v>
      </c>
    </row>
    <row r="31" spans="7:33" ht="15.75" thickBot="1" x14ac:dyDescent="0.3"/>
    <row r="32" spans="7:33" ht="24" thickBot="1" x14ac:dyDescent="0.65">
      <c r="H32" s="31" t="s">
        <v>9</v>
      </c>
      <c r="I32" s="80" t="s">
        <v>10</v>
      </c>
      <c r="J32" s="81"/>
      <c r="K32" s="81"/>
      <c r="L32" s="82"/>
      <c r="M32" s="33"/>
      <c r="N32" s="33"/>
      <c r="O32" s="33"/>
      <c r="P32" s="31" t="s">
        <v>20</v>
      </c>
      <c r="Q32" s="80" t="s">
        <v>28</v>
      </c>
      <c r="R32" s="81"/>
      <c r="S32" s="81"/>
      <c r="T32" s="82"/>
      <c r="U32" s="33"/>
      <c r="V32" s="33"/>
      <c r="W32" s="33"/>
      <c r="X32" s="33"/>
      <c r="Y32" s="33"/>
    </row>
    <row r="33" spans="8:30" ht="15.75" thickBot="1" x14ac:dyDescent="0.3">
      <c r="H33" s="34" t="s">
        <v>7</v>
      </c>
      <c r="I33" s="19">
        <v>1</v>
      </c>
      <c r="J33" s="19">
        <v>2</v>
      </c>
      <c r="K33" s="19">
        <v>3</v>
      </c>
      <c r="L33" s="19">
        <v>4</v>
      </c>
      <c r="M33" s="26"/>
      <c r="N33" s="26"/>
      <c r="O33" s="26"/>
      <c r="P33" s="34" t="s">
        <v>27</v>
      </c>
      <c r="Q33" s="19">
        <v>1</v>
      </c>
      <c r="R33" s="19">
        <v>2</v>
      </c>
      <c r="S33" s="19">
        <v>3</v>
      </c>
      <c r="T33" s="19">
        <v>4</v>
      </c>
      <c r="U33" s="26"/>
      <c r="V33" s="26"/>
      <c r="W33" s="26"/>
      <c r="X33" s="26"/>
      <c r="Y33" s="26"/>
    </row>
    <row r="34" spans="8:30" ht="15.75" thickBot="1" x14ac:dyDescent="0.3">
      <c r="H34" s="30">
        <v>1</v>
      </c>
      <c r="I34" s="35">
        <v>7</v>
      </c>
      <c r="J34" s="8">
        <v>4</v>
      </c>
      <c r="K34" s="8">
        <v>5</v>
      </c>
      <c r="L34" s="9">
        <v>6</v>
      </c>
      <c r="M34" s="26"/>
      <c r="N34" s="26"/>
      <c r="O34" s="26"/>
      <c r="P34" s="30">
        <v>1</v>
      </c>
      <c r="Q34" s="63">
        <v>0</v>
      </c>
      <c r="R34" s="59">
        <v>180</v>
      </c>
      <c r="S34" s="59">
        <v>10</v>
      </c>
      <c r="T34" s="60">
        <v>300</v>
      </c>
      <c r="U34">
        <f>SUM(Q34:T34)</f>
        <v>490</v>
      </c>
      <c r="V34" s="26" t="s">
        <v>23</v>
      </c>
      <c r="W34" s="26">
        <v>530</v>
      </c>
      <c r="X34" s="26"/>
      <c r="AA34" s="23"/>
      <c r="AB34" s="80" t="s">
        <v>17</v>
      </c>
      <c r="AC34" s="81"/>
      <c r="AD34" s="82"/>
    </row>
    <row r="35" spans="8:30" ht="15.75" thickBot="1" x14ac:dyDescent="0.3">
      <c r="H35" s="30">
        <v>2</v>
      </c>
      <c r="I35" s="4">
        <v>5</v>
      </c>
      <c r="J35" s="3">
        <v>4</v>
      </c>
      <c r="K35" s="3">
        <v>6</v>
      </c>
      <c r="L35" s="5">
        <v>7</v>
      </c>
      <c r="M35" s="26"/>
      <c r="N35" s="26"/>
      <c r="O35" s="26"/>
      <c r="P35" s="30">
        <v>2</v>
      </c>
      <c r="Q35" s="4">
        <v>0</v>
      </c>
      <c r="R35" s="3">
        <v>150</v>
      </c>
      <c r="S35" s="3">
        <v>0</v>
      </c>
      <c r="T35" s="5">
        <v>0</v>
      </c>
      <c r="U35">
        <f t="shared" ref="U35:U38" si="2">SUM(Q35:T35)</f>
        <v>150</v>
      </c>
      <c r="V35" s="26" t="s">
        <v>23</v>
      </c>
      <c r="W35" s="26">
        <v>590</v>
      </c>
      <c r="X35" s="26"/>
      <c r="AA35" s="39" t="s">
        <v>16</v>
      </c>
      <c r="AB35" s="39">
        <v>1</v>
      </c>
      <c r="AC35" s="39">
        <v>2</v>
      </c>
      <c r="AD35" s="39">
        <v>3</v>
      </c>
    </row>
    <row r="36" spans="8:30" ht="15.75" thickBot="1" x14ac:dyDescent="0.3">
      <c r="H36" s="30">
        <v>3</v>
      </c>
      <c r="I36" s="4">
        <v>7</v>
      </c>
      <c r="J36" s="3">
        <v>5</v>
      </c>
      <c r="K36" s="3">
        <v>3</v>
      </c>
      <c r="L36" s="5">
        <v>6</v>
      </c>
      <c r="M36" s="26"/>
      <c r="N36" s="26"/>
      <c r="O36" s="26"/>
      <c r="P36" s="30">
        <v>3</v>
      </c>
      <c r="Q36" s="4">
        <v>0</v>
      </c>
      <c r="R36" s="3">
        <v>0</v>
      </c>
      <c r="S36" s="3">
        <v>400</v>
      </c>
      <c r="T36" s="5">
        <v>0</v>
      </c>
      <c r="U36">
        <f t="shared" si="2"/>
        <v>400</v>
      </c>
      <c r="V36" s="26" t="s">
        <v>23</v>
      </c>
      <c r="W36" s="26">
        <v>400</v>
      </c>
      <c r="X36" s="26"/>
      <c r="AA36" s="39">
        <v>1</v>
      </c>
      <c r="AB36" s="48">
        <v>1200</v>
      </c>
      <c r="AC36" s="49">
        <v>650</v>
      </c>
      <c r="AD36" s="50">
        <v>1750</v>
      </c>
    </row>
    <row r="37" spans="8:30" ht="15.75" thickBot="1" x14ac:dyDescent="0.3">
      <c r="H37" s="30">
        <v>4</v>
      </c>
      <c r="I37" s="4">
        <v>3</v>
      </c>
      <c r="J37" s="3">
        <v>5</v>
      </c>
      <c r="K37" s="3">
        <v>6</v>
      </c>
      <c r="L37" s="5">
        <v>4</v>
      </c>
      <c r="M37" s="26"/>
      <c r="N37" s="26"/>
      <c r="O37" s="26"/>
      <c r="P37" s="30">
        <v>4</v>
      </c>
      <c r="Q37" s="4">
        <v>0</v>
      </c>
      <c r="R37" s="3">
        <v>0</v>
      </c>
      <c r="S37" s="3">
        <v>0</v>
      </c>
      <c r="T37" s="5">
        <v>0</v>
      </c>
      <c r="U37">
        <f>SUM(Q37:T37)</f>
        <v>0</v>
      </c>
      <c r="V37" s="26" t="s">
        <v>23</v>
      </c>
      <c r="W37" s="26">
        <v>370</v>
      </c>
      <c r="X37" s="26"/>
      <c r="AA37" s="39">
        <v>2</v>
      </c>
      <c r="AB37" s="46">
        <v>1350</v>
      </c>
      <c r="AC37" s="37">
        <v>730</v>
      </c>
      <c r="AD37" s="42">
        <v>2350</v>
      </c>
    </row>
    <row r="38" spans="8:30" ht="15.75" thickBot="1" x14ac:dyDescent="0.3">
      <c r="H38" s="30">
        <v>5</v>
      </c>
      <c r="I38" s="36">
        <v>4</v>
      </c>
      <c r="J38" s="6">
        <v>6</v>
      </c>
      <c r="K38" s="6">
        <v>5</v>
      </c>
      <c r="L38" s="7">
        <v>7</v>
      </c>
      <c r="M38" s="26"/>
      <c r="N38" s="26"/>
      <c r="O38" s="26"/>
      <c r="P38" s="30">
        <v>5</v>
      </c>
      <c r="Q38" s="36">
        <v>460</v>
      </c>
      <c r="R38" s="6">
        <v>0</v>
      </c>
      <c r="S38" s="6">
        <v>40</v>
      </c>
      <c r="T38" s="7">
        <v>0</v>
      </c>
      <c r="U38">
        <f t="shared" si="2"/>
        <v>500</v>
      </c>
      <c r="V38" s="26" t="s">
        <v>23</v>
      </c>
      <c r="W38" s="26">
        <v>580</v>
      </c>
      <c r="X38" s="26"/>
      <c r="AA38" s="39">
        <v>3</v>
      </c>
      <c r="AB38" s="47">
        <v>880</v>
      </c>
      <c r="AC38" s="44">
        <v>490</v>
      </c>
      <c r="AD38" s="43">
        <v>1175</v>
      </c>
    </row>
    <row r="39" spans="8:30" x14ac:dyDescent="0.25">
      <c r="M39" s="32"/>
      <c r="N39" s="32"/>
      <c r="O39" s="32"/>
      <c r="P39" s="32"/>
      <c r="Q39" s="25">
        <f>SUM(Q34:Q38)</f>
        <v>460</v>
      </c>
      <c r="R39" s="25">
        <f>SUM(R34:R38)</f>
        <v>330</v>
      </c>
      <c r="S39" s="25">
        <f t="shared" ref="S39:T39" si="3">SUM(S34:S38)</f>
        <v>450</v>
      </c>
      <c r="T39" s="25">
        <f t="shared" si="3"/>
        <v>300</v>
      </c>
      <c r="U39" s="32"/>
      <c r="V39" s="32"/>
      <c r="W39" s="32"/>
      <c r="X39" s="32"/>
      <c r="Y39" s="32"/>
    </row>
    <row r="40" spans="8:30" x14ac:dyDescent="0.25">
      <c r="Q40" s="1" t="s">
        <v>29</v>
      </c>
      <c r="R40" s="1" t="s">
        <v>29</v>
      </c>
      <c r="S40" s="1" t="s">
        <v>29</v>
      </c>
      <c r="T40" s="1" t="s">
        <v>29</v>
      </c>
      <c r="AA40" s="32"/>
      <c r="AB40" s="32"/>
      <c r="AC40" s="32"/>
    </row>
    <row r="41" spans="8:30" x14ac:dyDescent="0.25">
      <c r="L41" s="76" t="s">
        <v>21</v>
      </c>
      <c r="M41" s="76"/>
      <c r="N41">
        <f>SUMPRODUCT(I11:M19,Q11:U19)+SUMPRODUCT(I25:M29,Q25:U29)+SUMPRODUCT(I34:L38,Q34:T38)+SUMPRODUCT(AC10:AC14,AD10:AD14)+SUMPRODUCT(AC18:AC22,AD18:AD22)</f>
        <v>61195</v>
      </c>
      <c r="Q41" s="27">
        <v>460</v>
      </c>
      <c r="R41" s="27">
        <v>330</v>
      </c>
      <c r="S41" s="27">
        <v>450</v>
      </c>
      <c r="T41" s="27">
        <v>300</v>
      </c>
      <c r="AA41" s="25"/>
      <c r="AB41" s="25"/>
      <c r="AC41" s="25"/>
    </row>
    <row r="42" spans="8:30" x14ac:dyDescent="0.25">
      <c r="AA42" s="27"/>
      <c r="AB42" s="26"/>
      <c r="AC42" s="26"/>
    </row>
    <row r="43" spans="8:30" x14ac:dyDescent="0.25">
      <c r="AA43" s="27"/>
      <c r="AB43" s="26"/>
      <c r="AC43" s="26"/>
    </row>
    <row r="44" spans="8:30" x14ac:dyDescent="0.25">
      <c r="AA44" s="27"/>
      <c r="AB44" s="26"/>
      <c r="AC44" s="26"/>
    </row>
    <row r="45" spans="8:30" x14ac:dyDescent="0.25">
      <c r="AA45" s="27"/>
      <c r="AB45" s="26"/>
      <c r="AC45" s="26"/>
    </row>
    <row r="46" spans="8:30" x14ac:dyDescent="0.25">
      <c r="AA46" s="27"/>
      <c r="AB46" s="26"/>
      <c r="AC46" s="26"/>
    </row>
    <row r="47" spans="8:30" x14ac:dyDescent="0.25">
      <c r="AA47" s="32"/>
      <c r="AB47" s="32"/>
      <c r="AC47" s="32"/>
    </row>
  </sheetData>
  <mergeCells count="18">
    <mergeCell ref="P5:P7"/>
    <mergeCell ref="P2:P3"/>
    <mergeCell ref="AB34:AD34"/>
    <mergeCell ref="O9:P9"/>
    <mergeCell ref="Q9:U9"/>
    <mergeCell ref="O11:O13"/>
    <mergeCell ref="O14:O16"/>
    <mergeCell ref="O17:O19"/>
    <mergeCell ref="Q23:U23"/>
    <mergeCell ref="Q32:T32"/>
    <mergeCell ref="G17:G19"/>
    <mergeCell ref="G14:G16"/>
    <mergeCell ref="G11:G13"/>
    <mergeCell ref="G9:H9"/>
    <mergeCell ref="L41:M41"/>
    <mergeCell ref="I23:M23"/>
    <mergeCell ref="I32:L32"/>
    <mergeCell ref="I9:M9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Sayfa1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Sefa Aksüngü</dc:creator>
  <cp:lastModifiedBy>Sefa Aksüngü</cp:lastModifiedBy>
  <dcterms:created xsi:type="dcterms:W3CDTF">2018-12-12T15:59:31Z</dcterms:created>
  <dcterms:modified xsi:type="dcterms:W3CDTF">2021-03-21T14:24:57Z</dcterms:modified>
</cp:coreProperties>
</file>